
<file path=[Content_Types].xml><?xml version="1.0" encoding="utf-8"?>
<Types xmlns="http://schemas.openxmlformats.org/package/2006/content-types"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zinzinayechan/Documents/BUSA/"/>
    </mc:Choice>
  </mc:AlternateContent>
  <xr:revisionPtr revIDLastSave="0" documentId="13_ncr:40009_{EAF5B649-D122-E044-B38B-03D0F5C855E6}" xr6:coauthVersionLast="47" xr6:coauthVersionMax="47" xr10:uidLastSave="{00000000-0000-0000-0000-000000000000}"/>
  <bookViews>
    <workbookView xWindow="5660" yWindow="500" windowWidth="16920" windowHeight="16100" firstSheet="2" activeTab="5"/>
  </bookViews>
  <sheets>
    <sheet name="Explan" sheetId="4" r:id="rId1"/>
    <sheet name="Figure 1" sheetId="11" r:id="rId2"/>
    <sheet name="Figure 2" sheetId="14" r:id="rId3"/>
    <sheet name="Figure 3" sheetId="10" r:id="rId4"/>
    <sheet name="Sheet19" sheetId="23" r:id="rId5"/>
    <sheet name="Figure 4" sheetId="15" r:id="rId6"/>
    <sheet name="Figure 5" sheetId="17" r:id="rId7"/>
    <sheet name="Sheet15" sheetId="19" r:id="rId8"/>
    <sheet name="Sheet18" sheetId="22" r:id="rId9"/>
    <sheet name="Sheet16" sheetId="20" r:id="rId10"/>
    <sheet name="Sheet20" sheetId="24" r:id="rId11"/>
    <sheet name="testing ad" sheetId="6" r:id="rId12"/>
    <sheet name="ad" sheetId="1" r:id="rId13"/>
    <sheet name="testing ns" sheetId="8" r:id="rId14"/>
    <sheet name="ns" sheetId="3" r:id="rId15"/>
    <sheet name="testing s" sheetId="9" r:id="rId16"/>
    <sheet name="s" sheetId="2" r:id="rId17"/>
    <sheet name="testing greater" sheetId="12" r:id="rId18"/>
    <sheet name="greater" sheetId="13" r:id="rId19"/>
  </sheets>
  <calcPr calcId="191029"/>
  <pivotCaches>
    <pivotCache cacheId="69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" i="14" l="1"/>
  <c r="C111" i="14"/>
  <c r="C107" i="10"/>
  <c r="D107" i="10"/>
  <c r="E107" i="10"/>
  <c r="DF5" i="1"/>
  <c r="DE5" i="13"/>
  <c r="DE5" i="3"/>
  <c r="DF5" i="2"/>
  <c r="Q9" i="19"/>
  <c r="Q10" i="19"/>
  <c r="Q11" i="19"/>
  <c r="Q12" i="19"/>
  <c r="Q3" i="19" s="1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8" i="19"/>
  <c r="K3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K88" i="19"/>
  <c r="K89" i="19"/>
  <c r="K90" i="19"/>
  <c r="K91" i="19"/>
  <c r="K92" i="19"/>
  <c r="K93" i="19"/>
  <c r="K94" i="19"/>
  <c r="K95" i="19"/>
  <c r="K96" i="19"/>
  <c r="K97" i="19"/>
  <c r="K98" i="19"/>
  <c r="K99" i="19"/>
  <c r="K100" i="19"/>
  <c r="K101" i="19"/>
  <c r="K102" i="19"/>
  <c r="K103" i="19"/>
  <c r="K104" i="19"/>
  <c r="K105" i="19"/>
  <c r="K106" i="19"/>
  <c r="K107" i="19"/>
  <c r="K108" i="19"/>
  <c r="K5" i="19"/>
  <c r="F3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5" i="19"/>
  <c r="AE6" i="19"/>
  <c r="AE7" i="19"/>
  <c r="AE8" i="19"/>
  <c r="AE9" i="19"/>
  <c r="AE10" i="19"/>
  <c r="AE11" i="19"/>
  <c r="AE12" i="19"/>
  <c r="AE13" i="19"/>
  <c r="AE14" i="19"/>
  <c r="AE15" i="19"/>
  <c r="AE16" i="19"/>
  <c r="AE17" i="19"/>
  <c r="AE18" i="19"/>
  <c r="AE19" i="19"/>
  <c r="AE20" i="19"/>
  <c r="AE21" i="19"/>
  <c r="AE22" i="19"/>
  <c r="AE23" i="19"/>
  <c r="AE24" i="19"/>
  <c r="AE25" i="19"/>
  <c r="AE26" i="19"/>
  <c r="AE27" i="19"/>
  <c r="AE28" i="19"/>
  <c r="AE29" i="19"/>
  <c r="AE30" i="19"/>
  <c r="AE31" i="19"/>
  <c r="AE32" i="19"/>
  <c r="AE33" i="19"/>
  <c r="AE34" i="19"/>
  <c r="AE35" i="19"/>
  <c r="AE36" i="19"/>
  <c r="AE37" i="19"/>
  <c r="AE38" i="19"/>
  <c r="AE39" i="19"/>
  <c r="AE40" i="19"/>
  <c r="AE41" i="19"/>
  <c r="AE42" i="19"/>
  <c r="AE43" i="19"/>
  <c r="AE44" i="19"/>
  <c r="AE45" i="19"/>
  <c r="AE46" i="19"/>
  <c r="AE47" i="19"/>
  <c r="AE48" i="19"/>
  <c r="AE49" i="19"/>
  <c r="AE50" i="19"/>
  <c r="AE51" i="19"/>
  <c r="AE52" i="19"/>
  <c r="AE53" i="19"/>
  <c r="AE54" i="19"/>
  <c r="AE55" i="19"/>
  <c r="AE56" i="19"/>
  <c r="AE57" i="19"/>
  <c r="AE58" i="19"/>
  <c r="AE59" i="19"/>
  <c r="AE60" i="19"/>
  <c r="AE61" i="19"/>
  <c r="AE62" i="19"/>
  <c r="AE63" i="19"/>
  <c r="AE64" i="19"/>
  <c r="AE65" i="19"/>
  <c r="AE66" i="19"/>
  <c r="AE67" i="19"/>
  <c r="AE68" i="19"/>
  <c r="AE69" i="19"/>
  <c r="AE70" i="19"/>
  <c r="AE71" i="19"/>
  <c r="AE72" i="19"/>
  <c r="AE73" i="19"/>
  <c r="AE74" i="19"/>
  <c r="AE75" i="19"/>
  <c r="AE76" i="19"/>
  <c r="AE77" i="19"/>
  <c r="AE78" i="19"/>
  <c r="AE79" i="19"/>
  <c r="AE80" i="19"/>
  <c r="AE81" i="19"/>
  <c r="AE82" i="19"/>
  <c r="AE83" i="19"/>
  <c r="AE84" i="19"/>
  <c r="AE85" i="19"/>
  <c r="AE86" i="19"/>
  <c r="AE87" i="19"/>
  <c r="AE88" i="19"/>
  <c r="AE89" i="19"/>
  <c r="AE90" i="19"/>
  <c r="AE91" i="19"/>
  <c r="AE92" i="19"/>
  <c r="AE93" i="19"/>
  <c r="AE94" i="19"/>
  <c r="AE95" i="19"/>
  <c r="AE96" i="19"/>
  <c r="AE97" i="19"/>
  <c r="AE98" i="19"/>
  <c r="AE99" i="19"/>
  <c r="AE100" i="19"/>
  <c r="AE101" i="19"/>
  <c r="AE102" i="19"/>
  <c r="AE103" i="19"/>
  <c r="AE104" i="19"/>
  <c r="AE105" i="19"/>
  <c r="AE106" i="19"/>
  <c r="AE107" i="19"/>
  <c r="AE108" i="19"/>
  <c r="AE109" i="19"/>
  <c r="AE5" i="19"/>
  <c r="Z6" i="19"/>
  <c r="Z7" i="19"/>
  <c r="Z8" i="19"/>
  <c r="Z9" i="19"/>
  <c r="Z10" i="19"/>
  <c r="Z11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6" i="19"/>
  <c r="Z37" i="19"/>
  <c r="Z38" i="19"/>
  <c r="Z39" i="19"/>
  <c r="Z40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59" i="19"/>
  <c r="Z60" i="19"/>
  <c r="Z61" i="19"/>
  <c r="Z62" i="19"/>
  <c r="Z63" i="19"/>
  <c r="Z64" i="19"/>
  <c r="Z65" i="19"/>
  <c r="Z66" i="19"/>
  <c r="Z67" i="19"/>
  <c r="Z68" i="19"/>
  <c r="Z69" i="19"/>
  <c r="Z70" i="19"/>
  <c r="Z71" i="19"/>
  <c r="Z72" i="19"/>
  <c r="Z73" i="19"/>
  <c r="Z74" i="19"/>
  <c r="Z75" i="19"/>
  <c r="Z76" i="19"/>
  <c r="Z77" i="19"/>
  <c r="Z78" i="19"/>
  <c r="Z79" i="19"/>
  <c r="Z80" i="19"/>
  <c r="Z81" i="19"/>
  <c r="Z82" i="19"/>
  <c r="Z83" i="19"/>
  <c r="Z84" i="19"/>
  <c r="Z85" i="19"/>
  <c r="Z86" i="19"/>
  <c r="Z87" i="19"/>
  <c r="Z88" i="19"/>
  <c r="Z89" i="19"/>
  <c r="Z90" i="19"/>
  <c r="Z91" i="19"/>
  <c r="Z92" i="19"/>
  <c r="Z93" i="19"/>
  <c r="Z94" i="19"/>
  <c r="Z95" i="19"/>
  <c r="Z96" i="19"/>
  <c r="Z97" i="19"/>
  <c r="Z98" i="19"/>
  <c r="Z99" i="19"/>
  <c r="Z100" i="19"/>
  <c r="Z101" i="19"/>
  <c r="Z102" i="19"/>
  <c r="Z103" i="19"/>
  <c r="Z104" i="19"/>
  <c r="Z105" i="19"/>
  <c r="Z106" i="19"/>
  <c r="Z107" i="19"/>
  <c r="Z108" i="19"/>
  <c r="Z109" i="19"/>
  <c r="Z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64" i="19"/>
  <c r="Y65" i="19"/>
  <c r="Y66" i="19"/>
  <c r="Y67" i="19"/>
  <c r="Y68" i="19"/>
  <c r="Y69" i="19"/>
  <c r="Y70" i="19"/>
  <c r="Y71" i="19"/>
  <c r="Y72" i="19"/>
  <c r="Y73" i="19"/>
  <c r="Y74" i="19"/>
  <c r="Y75" i="19"/>
  <c r="Y76" i="19"/>
  <c r="Y77" i="19"/>
  <c r="Y78" i="19"/>
  <c r="Y79" i="19"/>
  <c r="Y80" i="19"/>
  <c r="Y81" i="19"/>
  <c r="Y82" i="19"/>
  <c r="Y83" i="19"/>
  <c r="Y84" i="19"/>
  <c r="Y85" i="19"/>
  <c r="Y86" i="19"/>
  <c r="Y87" i="19"/>
  <c r="Y88" i="19"/>
  <c r="Y89" i="19"/>
  <c r="Y90" i="19"/>
  <c r="Y91" i="19"/>
  <c r="Y92" i="19"/>
  <c r="Y93" i="19"/>
  <c r="Y94" i="19"/>
  <c r="Y95" i="19"/>
  <c r="Y96" i="19"/>
  <c r="Y97" i="19"/>
  <c r="Y98" i="19"/>
  <c r="Y99" i="19"/>
  <c r="Y100" i="19"/>
  <c r="Y101" i="19"/>
  <c r="Y102" i="19"/>
  <c r="Y103" i="19"/>
  <c r="Y104" i="19"/>
  <c r="Y105" i="19"/>
  <c r="Y106" i="19"/>
  <c r="Y107" i="19"/>
  <c r="Y108" i="19"/>
  <c r="Y109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48" i="19"/>
  <c r="AD49" i="19"/>
  <c r="AD50" i="19"/>
  <c r="AD51" i="19"/>
  <c r="AD52" i="19"/>
  <c r="AD53" i="19"/>
  <c r="AD54" i="19"/>
  <c r="AD55" i="19"/>
  <c r="AD56" i="19"/>
  <c r="AD57" i="19"/>
  <c r="AD58" i="19"/>
  <c r="AD59" i="19"/>
  <c r="AD60" i="19"/>
  <c r="AD61" i="19"/>
  <c r="AD62" i="19"/>
  <c r="AD63" i="19"/>
  <c r="AD64" i="19"/>
  <c r="AD65" i="19"/>
  <c r="AD66" i="19"/>
  <c r="AD67" i="19"/>
  <c r="AD68" i="19"/>
  <c r="AD69" i="19"/>
  <c r="AD70" i="19"/>
  <c r="AD71" i="19"/>
  <c r="AD72" i="19"/>
  <c r="AD73" i="19"/>
  <c r="AD74" i="19"/>
  <c r="AD75" i="19"/>
  <c r="AD76" i="19"/>
  <c r="AD77" i="19"/>
  <c r="AD78" i="19"/>
  <c r="AD79" i="19"/>
  <c r="AD80" i="19"/>
  <c r="AD81" i="19"/>
  <c r="AD82" i="19"/>
  <c r="AD83" i="19"/>
  <c r="AD84" i="19"/>
  <c r="AD85" i="19"/>
  <c r="AD86" i="19"/>
  <c r="AD87" i="19"/>
  <c r="AD88" i="19"/>
  <c r="AD89" i="19"/>
  <c r="AD90" i="19"/>
  <c r="AD91" i="19"/>
  <c r="AD92" i="19"/>
  <c r="AD93" i="19"/>
  <c r="AD94" i="19"/>
  <c r="AD95" i="19"/>
  <c r="AD96" i="19"/>
  <c r="AD97" i="19"/>
  <c r="AD98" i="19"/>
  <c r="AD99" i="19"/>
  <c r="AD100" i="19"/>
  <c r="AD101" i="19"/>
  <c r="AD102" i="19"/>
  <c r="AD103" i="19"/>
  <c r="AD104" i="19"/>
  <c r="AD105" i="19"/>
  <c r="AD106" i="19"/>
  <c r="AD107" i="19"/>
  <c r="AD108" i="19"/>
  <c r="AD5" i="19"/>
  <c r="Y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5" i="19"/>
  <c r="D5" i="19"/>
  <c r="U104" i="19"/>
  <c r="T6" i="19"/>
  <c r="U6" i="19" s="1"/>
  <c r="T7" i="19"/>
  <c r="U7" i="19" s="1"/>
  <c r="T8" i="19"/>
  <c r="T9" i="19"/>
  <c r="U9" i="19" s="1"/>
  <c r="T10" i="19"/>
  <c r="U10" i="19" s="1"/>
  <c r="T11" i="19"/>
  <c r="U11" i="19" s="1"/>
  <c r="T12" i="19"/>
  <c r="U12" i="19" s="1"/>
  <c r="T13" i="19"/>
  <c r="U13" i="19" s="1"/>
  <c r="T14" i="19"/>
  <c r="U8" i="19" s="1"/>
  <c r="T15" i="19"/>
  <c r="U15" i="19" s="1"/>
  <c r="T16" i="19"/>
  <c r="T17" i="19"/>
  <c r="U17" i="19" s="1"/>
  <c r="T18" i="19"/>
  <c r="U18" i="19" s="1"/>
  <c r="T19" i="19"/>
  <c r="U19" i="19" s="1"/>
  <c r="T20" i="19"/>
  <c r="T21" i="19"/>
  <c r="U20" i="19" s="1"/>
  <c r="T22" i="19"/>
  <c r="U16" i="19" s="1"/>
  <c r="T23" i="19"/>
  <c r="U23" i="19" s="1"/>
  <c r="T24" i="19"/>
  <c r="T25" i="19"/>
  <c r="U25" i="19" s="1"/>
  <c r="T26" i="19"/>
  <c r="U26" i="19" s="1"/>
  <c r="T27" i="19"/>
  <c r="U27" i="19" s="1"/>
  <c r="T28" i="19"/>
  <c r="T29" i="19"/>
  <c r="U28" i="19" s="1"/>
  <c r="T30" i="19"/>
  <c r="U24" i="19" s="1"/>
  <c r="T31" i="19"/>
  <c r="U31" i="19" s="1"/>
  <c r="T32" i="19"/>
  <c r="T33" i="19"/>
  <c r="U33" i="19" s="1"/>
  <c r="T34" i="19"/>
  <c r="U34" i="19" s="1"/>
  <c r="T35" i="19"/>
  <c r="U35" i="19" s="1"/>
  <c r="T36" i="19"/>
  <c r="T37" i="19"/>
  <c r="U36" i="19" s="1"/>
  <c r="T38" i="19"/>
  <c r="U32" i="19" s="1"/>
  <c r="T39" i="19"/>
  <c r="U39" i="19" s="1"/>
  <c r="T40" i="19"/>
  <c r="T41" i="19"/>
  <c r="U41" i="19" s="1"/>
  <c r="T42" i="19"/>
  <c r="U42" i="19" s="1"/>
  <c r="T43" i="19"/>
  <c r="U43" i="19" s="1"/>
  <c r="T44" i="19"/>
  <c r="T45" i="19"/>
  <c r="U44" i="19" s="1"/>
  <c r="T46" i="19"/>
  <c r="U46" i="19" s="1"/>
  <c r="T47" i="19"/>
  <c r="U40" i="19" s="1"/>
  <c r="T48" i="19"/>
  <c r="T49" i="19"/>
  <c r="U49" i="19" s="1"/>
  <c r="T50" i="19"/>
  <c r="U50" i="19" s="1"/>
  <c r="T51" i="19"/>
  <c r="U51" i="19" s="1"/>
  <c r="T52" i="19"/>
  <c r="T53" i="19"/>
  <c r="U52" i="19" s="1"/>
  <c r="T54" i="19"/>
  <c r="U48" i="19" s="1"/>
  <c r="T55" i="19"/>
  <c r="U55" i="19" s="1"/>
  <c r="T56" i="19"/>
  <c r="T57" i="19"/>
  <c r="U57" i="19" s="1"/>
  <c r="T58" i="19"/>
  <c r="U58" i="19" s="1"/>
  <c r="T59" i="19"/>
  <c r="U59" i="19" s="1"/>
  <c r="T60" i="19"/>
  <c r="T61" i="19"/>
  <c r="U60" i="19" s="1"/>
  <c r="T62" i="19"/>
  <c r="U62" i="19" s="1"/>
  <c r="T63" i="19"/>
  <c r="U56" i="19" s="1"/>
  <c r="T64" i="19"/>
  <c r="T65" i="19"/>
  <c r="U65" i="19" s="1"/>
  <c r="T66" i="19"/>
  <c r="U66" i="19" s="1"/>
  <c r="T67" i="19"/>
  <c r="U67" i="19" s="1"/>
  <c r="T68" i="19"/>
  <c r="T69" i="19"/>
  <c r="U68" i="19" s="1"/>
  <c r="T70" i="19"/>
  <c r="U70" i="19" s="1"/>
  <c r="T71" i="19"/>
  <c r="U64" i="19" s="1"/>
  <c r="T72" i="19"/>
  <c r="T73" i="19"/>
  <c r="U73" i="19" s="1"/>
  <c r="T74" i="19"/>
  <c r="U74" i="19" s="1"/>
  <c r="T75" i="19"/>
  <c r="U75" i="19" s="1"/>
  <c r="T76" i="19"/>
  <c r="T77" i="19"/>
  <c r="U76" i="19" s="1"/>
  <c r="T78" i="19"/>
  <c r="U78" i="19" s="1"/>
  <c r="T79" i="19"/>
  <c r="U72" i="19" s="1"/>
  <c r="T80" i="19"/>
  <c r="T81" i="19"/>
  <c r="U81" i="19" s="1"/>
  <c r="T82" i="19"/>
  <c r="U82" i="19" s="1"/>
  <c r="T83" i="19"/>
  <c r="U83" i="19" s="1"/>
  <c r="T84" i="19"/>
  <c r="T85" i="19"/>
  <c r="U84" i="19" s="1"/>
  <c r="T86" i="19"/>
  <c r="U86" i="19" s="1"/>
  <c r="T87" i="19"/>
  <c r="U80" i="19" s="1"/>
  <c r="T88" i="19"/>
  <c r="T89" i="19"/>
  <c r="U89" i="19" s="1"/>
  <c r="T90" i="19"/>
  <c r="U90" i="19" s="1"/>
  <c r="T91" i="19"/>
  <c r="U91" i="19" s="1"/>
  <c r="T92" i="19"/>
  <c r="T93" i="19"/>
  <c r="U92" i="19" s="1"/>
  <c r="T94" i="19"/>
  <c r="U94" i="19" s="1"/>
  <c r="T95" i="19"/>
  <c r="U88" i="19" s="1"/>
  <c r="T96" i="19"/>
  <c r="T97" i="19"/>
  <c r="U97" i="19" s="1"/>
  <c r="T98" i="19"/>
  <c r="U98" i="19" s="1"/>
  <c r="T99" i="19"/>
  <c r="U99" i="19" s="1"/>
  <c r="T100" i="19"/>
  <c r="T101" i="19"/>
  <c r="U100" i="19" s="1"/>
  <c r="T102" i="19"/>
  <c r="U102" i="19" s="1"/>
  <c r="T103" i="19"/>
  <c r="U96" i="19" s="1"/>
  <c r="T104" i="19"/>
  <c r="T105" i="19"/>
  <c r="U105" i="19" s="1"/>
  <c r="T106" i="19"/>
  <c r="U106" i="19" s="1"/>
  <c r="T107" i="19"/>
  <c r="U107" i="19" s="1"/>
  <c r="T108" i="19"/>
  <c r="T109" i="19"/>
  <c r="U108" i="19" s="1"/>
  <c r="T5" i="19"/>
  <c r="U5" i="19" s="1"/>
  <c r="O9" i="19"/>
  <c r="O10" i="19"/>
  <c r="O11" i="19"/>
  <c r="O12" i="19"/>
  <c r="O13" i="19"/>
  <c r="O14" i="19"/>
  <c r="P12" i="19" s="1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P84" i="19" s="1"/>
  <c r="O87" i="19"/>
  <c r="O88" i="19"/>
  <c r="O89" i="19"/>
  <c r="O90" i="19"/>
  <c r="O91" i="19"/>
  <c r="O92" i="19"/>
  <c r="O93" i="19"/>
  <c r="O94" i="19"/>
  <c r="P92" i="19" s="1"/>
  <c r="O95" i="19"/>
  <c r="O96" i="19"/>
  <c r="O97" i="19"/>
  <c r="O98" i="19"/>
  <c r="O99" i="19"/>
  <c r="O100" i="19"/>
  <c r="O101" i="19"/>
  <c r="O102" i="19"/>
  <c r="P100" i="19" s="1"/>
  <c r="O103" i="19"/>
  <c r="O104" i="19"/>
  <c r="O105" i="19"/>
  <c r="O106" i="19"/>
  <c r="O107" i="19"/>
  <c r="O108" i="19"/>
  <c r="O109" i="19"/>
  <c r="P107" i="19" s="1"/>
  <c r="O8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I4" i="17"/>
  <c r="I5" i="17"/>
  <c r="I3" i="17"/>
  <c r="H4" i="17"/>
  <c r="H5" i="17"/>
  <c r="H3" i="17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7" i="8"/>
  <c r="E107" i="8"/>
  <c r="E108" i="8"/>
  <c r="E109" i="8"/>
  <c r="E110" i="8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6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10" i="6"/>
  <c r="E106" i="6"/>
  <c r="E107" i="6"/>
  <c r="E108" i="6"/>
  <c r="E109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U103" i="19" l="1"/>
  <c r="U95" i="19"/>
  <c r="U87" i="19"/>
  <c r="U63" i="19"/>
  <c r="U47" i="19"/>
  <c r="U54" i="19"/>
  <c r="U38" i="19"/>
  <c r="U30" i="19"/>
  <c r="U22" i="19"/>
  <c r="U14" i="19"/>
  <c r="U109" i="19"/>
  <c r="U101" i="19"/>
  <c r="U93" i="19"/>
  <c r="U85" i="19"/>
  <c r="U77" i="19"/>
  <c r="U69" i="19"/>
  <c r="U61" i="19"/>
  <c r="U53" i="19"/>
  <c r="U45" i="19"/>
  <c r="U37" i="19"/>
  <c r="U29" i="19"/>
  <c r="U21" i="19"/>
  <c r="U71" i="19"/>
  <c r="U79" i="19"/>
  <c r="P11" i="19"/>
  <c r="P19" i="19"/>
  <c r="P8" i="19"/>
  <c r="P36" i="19"/>
  <c r="P91" i="19"/>
  <c r="P75" i="19"/>
  <c r="P59" i="19"/>
  <c r="P27" i="19"/>
  <c r="P106" i="19"/>
  <c r="P98" i="19"/>
  <c r="P90" i="19"/>
  <c r="P82" i="19"/>
  <c r="P74" i="19"/>
  <c r="P66" i="19"/>
  <c r="P58" i="19"/>
  <c r="P50" i="19"/>
  <c r="P42" i="19"/>
  <c r="P34" i="19"/>
  <c r="P26" i="19"/>
  <c r="P18" i="19"/>
  <c r="P10" i="19"/>
  <c r="P76" i="19"/>
  <c r="P60" i="19"/>
  <c r="P44" i="19"/>
  <c r="P20" i="19"/>
  <c r="P99" i="19"/>
  <c r="P83" i="19"/>
  <c r="P67" i="19"/>
  <c r="P51" i="19"/>
  <c r="P43" i="19"/>
  <c r="P35" i="19"/>
  <c r="P105" i="19"/>
  <c r="P97" i="19"/>
  <c r="P89" i="19"/>
  <c r="P81" i="19"/>
  <c r="P73" i="19"/>
  <c r="P65" i="19"/>
  <c r="P57" i="19"/>
  <c r="P49" i="19"/>
  <c r="P41" i="19"/>
  <c r="P33" i="19"/>
  <c r="P25" i="19"/>
  <c r="P17" i="19"/>
  <c r="P9" i="19"/>
  <c r="P109" i="19"/>
  <c r="P68" i="19"/>
  <c r="P52" i="19"/>
  <c r="P28" i="19"/>
  <c r="P103" i="19"/>
  <c r="P93" i="19"/>
  <c r="P85" i="19"/>
  <c r="P79" i="19"/>
  <c r="P69" i="19"/>
  <c r="P61" i="19"/>
  <c r="P55" i="19"/>
  <c r="P45" i="19"/>
  <c r="P37" i="19"/>
  <c r="P29" i="19"/>
  <c r="P21" i="19"/>
  <c r="P15" i="19"/>
  <c r="P108" i="19"/>
  <c r="P101" i="19"/>
  <c r="P77" i="19"/>
  <c r="P53" i="19"/>
  <c r="P13" i="19"/>
  <c r="P104" i="19"/>
  <c r="P96" i="19"/>
  <c r="P88" i="19"/>
  <c r="P80" i="19"/>
  <c r="P72" i="19"/>
  <c r="P64" i="19"/>
  <c r="P56" i="19"/>
  <c r="P48" i="19"/>
  <c r="P40" i="19"/>
  <c r="P32" i="19"/>
  <c r="P24" i="19"/>
  <c r="P16" i="19"/>
  <c r="P95" i="19"/>
  <c r="P87" i="19"/>
  <c r="P71" i="19"/>
  <c r="P63" i="19"/>
  <c r="P47" i="19"/>
  <c r="P39" i="19"/>
  <c r="P31" i="19"/>
  <c r="P23" i="19"/>
  <c r="P102" i="19"/>
  <c r="P94" i="19"/>
  <c r="P86" i="19"/>
  <c r="P78" i="19"/>
  <c r="P70" i="19"/>
  <c r="P62" i="19"/>
  <c r="P54" i="19"/>
  <c r="P46" i="19"/>
  <c r="P38" i="19"/>
  <c r="P30" i="19"/>
  <c r="P22" i="19"/>
  <c r="P14" i="19"/>
  <c r="J107" i="19"/>
  <c r="J83" i="19"/>
  <c r="J108" i="19"/>
  <c r="J60" i="19"/>
  <c r="J20" i="19"/>
  <c r="J104" i="19"/>
  <c r="J93" i="19"/>
  <c r="J84" i="19"/>
  <c r="J56" i="19"/>
  <c r="J45" i="19"/>
  <c r="J32" i="19"/>
  <c r="J103" i="19"/>
  <c r="J94" i="19"/>
  <c r="J71" i="19"/>
  <c r="J55" i="19"/>
  <c r="J46" i="19"/>
  <c r="J31" i="19"/>
  <c r="J70" i="19"/>
  <c r="J38" i="19"/>
  <c r="J64" i="19"/>
  <c r="J47" i="19"/>
  <c r="J14" i="19"/>
  <c r="J44" i="19"/>
  <c r="J95" i="19"/>
  <c r="J72" i="19"/>
  <c r="J6" i="19"/>
  <c r="J78" i="19"/>
  <c r="J39" i="19"/>
  <c r="J101" i="19"/>
  <c r="J92" i="19"/>
  <c r="J80" i="19"/>
  <c r="J77" i="19"/>
  <c r="J69" i="19"/>
  <c r="J61" i="19"/>
  <c r="J53" i="19"/>
  <c r="J30" i="19"/>
  <c r="J29" i="19"/>
  <c r="J16" i="19"/>
  <c r="J5" i="19"/>
  <c r="J21" i="19"/>
  <c r="J88" i="19"/>
  <c r="J22" i="19"/>
  <c r="J100" i="19"/>
  <c r="J91" i="19"/>
  <c r="J76" i="19"/>
  <c r="J68" i="19"/>
  <c r="J52" i="19"/>
  <c r="J36" i="19"/>
  <c r="J28" i="19"/>
  <c r="J98" i="19"/>
  <c r="J90" i="19"/>
  <c r="J74" i="19"/>
  <c r="J66" i="19"/>
  <c r="J58" i="19"/>
  <c r="J50" i="19"/>
  <c r="J34" i="19"/>
  <c r="J26" i="19"/>
  <c r="J18" i="19"/>
  <c r="J10" i="19"/>
  <c r="J109" i="19"/>
  <c r="J99" i="19"/>
  <c r="J87" i="19"/>
  <c r="J63" i="19"/>
  <c r="J24" i="19"/>
  <c r="J105" i="19"/>
  <c r="J97" i="19"/>
  <c r="J89" i="19"/>
  <c r="J81" i="19"/>
  <c r="J73" i="19"/>
  <c r="J65" i="19"/>
  <c r="J57" i="19"/>
  <c r="J49" i="19"/>
  <c r="J41" i="19"/>
  <c r="J33" i="19"/>
  <c r="J25" i="19"/>
  <c r="J17" i="19"/>
  <c r="J9" i="19"/>
  <c r="J96" i="19"/>
  <c r="J86" i="19"/>
  <c r="J62" i="19"/>
  <c r="J48" i="19"/>
  <c r="J37" i="19"/>
  <c r="J23" i="19"/>
  <c r="J106" i="19"/>
  <c r="J82" i="19"/>
  <c r="J42" i="19"/>
  <c r="J7" i="19"/>
  <c r="J8" i="19"/>
  <c r="J85" i="19"/>
  <c r="J40" i="19"/>
  <c r="J15" i="19"/>
  <c r="J13" i="19"/>
  <c r="J102" i="19"/>
  <c r="J12" i="19"/>
  <c r="J79" i="19"/>
  <c r="J54" i="19"/>
  <c r="J75" i="19"/>
  <c r="J67" i="19"/>
  <c r="J59" i="19"/>
  <c r="J51" i="19"/>
  <c r="J43" i="19"/>
  <c r="J35" i="19"/>
  <c r="J27" i="19"/>
  <c r="J19" i="19"/>
  <c r="J11" i="19"/>
</calcChain>
</file>

<file path=xl/sharedStrings.xml><?xml version="1.0" encoding="utf-8"?>
<sst xmlns="http://schemas.openxmlformats.org/spreadsheetml/2006/main" count="748" uniqueCount="202">
  <si>
    <t>Local</t>
  </si>
  <si>
    <t>Code</t>
  </si>
  <si>
    <t>Government</t>
  </si>
  <si>
    <t>Middle Ring</t>
  </si>
  <si>
    <t>Ryde</t>
  </si>
  <si>
    <t>All Dwellings</t>
  </si>
  <si>
    <t>Mar-91</t>
  </si>
  <si>
    <t>Jun-91</t>
  </si>
  <si>
    <t>Sep-91</t>
  </si>
  <si>
    <t>Dec-91</t>
  </si>
  <si>
    <t>Mar-92</t>
  </si>
  <si>
    <t>Jun-92</t>
  </si>
  <si>
    <t>Sep-92</t>
  </si>
  <si>
    <t>Dec-92</t>
  </si>
  <si>
    <t>Mar-93</t>
  </si>
  <si>
    <t>Jun-93</t>
  </si>
  <si>
    <t>Sep-93</t>
  </si>
  <si>
    <t>Dec-93</t>
  </si>
  <si>
    <t>Mar-94</t>
  </si>
  <si>
    <t>Jun-94</t>
  </si>
  <si>
    <t>Sep-94</t>
  </si>
  <si>
    <t>Dec-94</t>
  </si>
  <si>
    <t>Mar-95</t>
  </si>
  <si>
    <t>Jun-95</t>
  </si>
  <si>
    <t>Sep-95</t>
  </si>
  <si>
    <t>Dec-95</t>
  </si>
  <si>
    <t>Mar-96</t>
  </si>
  <si>
    <t>Jun-96</t>
  </si>
  <si>
    <t>Sep-96</t>
  </si>
  <si>
    <t>Dec-96</t>
  </si>
  <si>
    <t>Mar-97</t>
  </si>
  <si>
    <t>Jun-97</t>
  </si>
  <si>
    <t>Sep-97</t>
  </si>
  <si>
    <t>Dec-97</t>
  </si>
  <si>
    <t>Mar-98</t>
  </si>
  <si>
    <t>Jun-98</t>
  </si>
  <si>
    <t>Sep-98</t>
  </si>
  <si>
    <t>Dec-98</t>
  </si>
  <si>
    <t>Mar-99</t>
  </si>
  <si>
    <t>Jun-99</t>
  </si>
  <si>
    <t>Sep-99</t>
  </si>
  <si>
    <t>Dec-99</t>
  </si>
  <si>
    <t>Mar-00</t>
  </si>
  <si>
    <t>Jun-00</t>
  </si>
  <si>
    <t>Sep-00</t>
  </si>
  <si>
    <t>Dec-00</t>
  </si>
  <si>
    <t>Mar-01</t>
  </si>
  <si>
    <t>Jun-01</t>
  </si>
  <si>
    <t>Sep-01</t>
  </si>
  <si>
    <t>Dec-01</t>
  </si>
  <si>
    <t>Mar-02</t>
  </si>
  <si>
    <t>Jun-02</t>
  </si>
  <si>
    <t>Sep-02</t>
  </si>
  <si>
    <t>Dec-02</t>
  </si>
  <si>
    <t>Mar-03</t>
  </si>
  <si>
    <t>Jun-03</t>
  </si>
  <si>
    <t>Sep-03</t>
  </si>
  <si>
    <t>Dec-03</t>
  </si>
  <si>
    <t>Mar-04</t>
  </si>
  <si>
    <t>Jun-04</t>
  </si>
  <si>
    <t>Sep-04</t>
  </si>
  <si>
    <t>Dec-04</t>
  </si>
  <si>
    <t>Mar-05</t>
  </si>
  <si>
    <t>Jun-05</t>
  </si>
  <si>
    <t>Sep-05</t>
  </si>
  <si>
    <t>Dec-05</t>
  </si>
  <si>
    <t>Mar-06</t>
  </si>
  <si>
    <t>Jun-06</t>
  </si>
  <si>
    <t>Sep-06</t>
  </si>
  <si>
    <t>Dec-06</t>
  </si>
  <si>
    <t>Mar-07</t>
  </si>
  <si>
    <t>Jun-07</t>
  </si>
  <si>
    <t>Sep-07</t>
  </si>
  <si>
    <t>Dec-07</t>
  </si>
  <si>
    <t>Mar-08</t>
  </si>
  <si>
    <t>Jun-08</t>
  </si>
  <si>
    <t>Sep-08</t>
  </si>
  <si>
    <t>Dec-08</t>
  </si>
  <si>
    <t>Mar-09</t>
  </si>
  <si>
    <t>Jun-09</t>
  </si>
  <si>
    <t>Sep-09</t>
  </si>
  <si>
    <t>Dec-09</t>
  </si>
  <si>
    <t>Median Sale Prices ($'000) by Quarter</t>
  </si>
  <si>
    <t xml:space="preserve">notes: (s) 30 or less sales contracted;  (-) 10 or less sales contracted; &lt;&lt;Median sale prices in previous quarters CAN CHANGE due to slower moving transactions, notified in the current quarter, reporting to the quarter in which the contract was entered into&gt;&gt;.  </t>
  </si>
  <si>
    <t>Mar-10</t>
  </si>
  <si>
    <t>Jun-10</t>
  </si>
  <si>
    <t>Sep-10</t>
  </si>
  <si>
    <t>Dec-10</t>
  </si>
  <si>
    <t>Mar-11</t>
  </si>
  <si>
    <t>Jun-11</t>
  </si>
  <si>
    <t>Sep-11</t>
  </si>
  <si>
    <t>Dec-11</t>
  </si>
  <si>
    <t>Mar-12</t>
  </si>
  <si>
    <t>Jun-12</t>
  </si>
  <si>
    <t>Sep-12</t>
  </si>
  <si>
    <t>Dec-12</t>
  </si>
  <si>
    <t>Area/Ring/SA</t>
  </si>
  <si>
    <t>Greater Sydney</t>
  </si>
  <si>
    <t>Mar-13</t>
  </si>
  <si>
    <t>Jun-13</t>
  </si>
  <si>
    <t>Sep-13</t>
  </si>
  <si>
    <t>Dec-13</t>
  </si>
  <si>
    <t>Mar-14</t>
  </si>
  <si>
    <t>Jun-14</t>
  </si>
  <si>
    <t>Dec-14</t>
  </si>
  <si>
    <t>Sep-14</t>
  </si>
  <si>
    <t>Mar-15</t>
  </si>
  <si>
    <t>Jun-15</t>
  </si>
  <si>
    <t>Sep-15</t>
  </si>
  <si>
    <t>Dec-15</t>
  </si>
  <si>
    <t>Mar-16</t>
  </si>
  <si>
    <t>-</t>
  </si>
  <si>
    <t>s</t>
  </si>
  <si>
    <t>Table of Contents</t>
  </si>
  <si>
    <t>Median Sale Price ($'000) by Quarter</t>
  </si>
  <si>
    <t>ad!</t>
  </si>
  <si>
    <t>ns!</t>
  </si>
  <si>
    <t>Non strata Dwellings</t>
  </si>
  <si>
    <t>s!</t>
  </si>
  <si>
    <t>Strata Dwellings</t>
  </si>
  <si>
    <t>NSW Department of Housing</t>
  </si>
  <si>
    <t>www.facs.nsw.gov.au</t>
  </si>
  <si>
    <t>FACS Analysis and Research</t>
  </si>
  <si>
    <t xml:space="preserve"> </t>
  </si>
  <si>
    <t>Non Strata Dwellings</t>
  </si>
  <si>
    <t>Mar Qtr 1991 to Mar Qtr  2017</t>
  </si>
  <si>
    <t>ph: 02 8879 9163</t>
  </si>
  <si>
    <t>email: Monika.Sarangal@facs.nsw.gov.au</t>
  </si>
  <si>
    <t>Date</t>
  </si>
  <si>
    <t>Mar-1991</t>
  </si>
  <si>
    <t>Jun-1991</t>
  </si>
  <si>
    <t>Sep-1991</t>
  </si>
  <si>
    <t>Dec-1991</t>
  </si>
  <si>
    <t>Mar-1992</t>
  </si>
  <si>
    <t>Jun-1992</t>
  </si>
  <si>
    <t>Sep-1992</t>
  </si>
  <si>
    <t>Dec-1992</t>
  </si>
  <si>
    <t>Mar-1993</t>
  </si>
  <si>
    <t>Jun-1993</t>
  </si>
  <si>
    <t>Sep-1993</t>
  </si>
  <si>
    <t>Dec-1993</t>
  </si>
  <si>
    <t>Mar-1994</t>
  </si>
  <si>
    <t>Jun-1994</t>
  </si>
  <si>
    <t>Sep-1994</t>
  </si>
  <si>
    <t>Dec-1994</t>
  </si>
  <si>
    <t>Mar-1995</t>
  </si>
  <si>
    <t>Jun-1995</t>
  </si>
  <si>
    <t>Sep-1995</t>
  </si>
  <si>
    <t>Dec-1995</t>
  </si>
  <si>
    <t>Mar-1996</t>
  </si>
  <si>
    <t>Jun-1996</t>
  </si>
  <si>
    <t>Sep-1996</t>
  </si>
  <si>
    <t>Dec-1996</t>
  </si>
  <si>
    <t>Mar-1997</t>
  </si>
  <si>
    <t>Jun-1997</t>
  </si>
  <si>
    <t>Sep-1997</t>
  </si>
  <si>
    <t>Dec-1997</t>
  </si>
  <si>
    <t>Mar-1998</t>
  </si>
  <si>
    <t>Jun-1998</t>
  </si>
  <si>
    <t>Sep-1998</t>
  </si>
  <si>
    <t>Dec-1998</t>
  </si>
  <si>
    <t>Mar-1999</t>
  </si>
  <si>
    <t>Jun-1999</t>
  </si>
  <si>
    <t>Sep-1999</t>
  </si>
  <si>
    <t>Dec-1999</t>
  </si>
  <si>
    <t>Grand Total</t>
  </si>
  <si>
    <t>Mar-17</t>
  </si>
  <si>
    <t>CPI</t>
  </si>
  <si>
    <t>Jun-16</t>
  </si>
  <si>
    <t>Sep-16</t>
  </si>
  <si>
    <t>Dec-16</t>
  </si>
  <si>
    <t>Jun-17</t>
  </si>
  <si>
    <t>Inflation</t>
  </si>
  <si>
    <t>ns</t>
  </si>
  <si>
    <t>All Dwelling</t>
  </si>
  <si>
    <t>Non Strata</t>
  </si>
  <si>
    <t>Strata</t>
  </si>
  <si>
    <t>Nominal</t>
  </si>
  <si>
    <t>Real</t>
  </si>
  <si>
    <t>Greater Metropolitan Region (GMR)</t>
  </si>
  <si>
    <t>Rings</t>
  </si>
  <si>
    <t>Local Government Area (LGA)</t>
  </si>
  <si>
    <t>DwellingType</t>
  </si>
  <si>
    <t>First Quartile Sales Price
$'000s</t>
  </si>
  <si>
    <t>Median Sales Price
$'000s</t>
  </si>
  <si>
    <t>Third Quartile Sales Price
'000s</t>
  </si>
  <si>
    <t>Mean Sales Price
$'000s</t>
  </si>
  <si>
    <t>Sales
No.</t>
  </si>
  <si>
    <t>Qtly change in Median</t>
  </si>
  <si>
    <t>Annual change in Median</t>
  </si>
  <si>
    <t>Qtly change in Count</t>
  </si>
  <si>
    <t>Annual change in Count</t>
  </si>
  <si>
    <t>Total</t>
  </si>
  <si>
    <t>Sum of Annual change in Median</t>
  </si>
  <si>
    <t>Quarterly return</t>
  </si>
  <si>
    <t>Stdev</t>
  </si>
  <si>
    <t>gs ad</t>
  </si>
  <si>
    <t>non strata</t>
  </si>
  <si>
    <t>gs ns</t>
  </si>
  <si>
    <t>gs s</t>
  </si>
  <si>
    <t>((Ending Value / Beginning Value) ^ (1 / Number of Years) - 1) * 100</t>
  </si>
  <si>
    <t>Sum of Median Sales Price
$'000s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</si>
</sst>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-&quot;$&quot;* #,##0.00_-;\-&quot;$&quot;* #,##0.00_-;_-&quot;$&quot;* &quot;-&quot;??_-;_-@_-"/>
    <numFmt numFmtId="180" formatCode="0.0%"/>
    <numFmt numFmtId="181" formatCode="mmm\-yyyy"/>
    <numFmt numFmtId="182" formatCode="0.0;\-0.0;0.0;@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sz val="8"/>
      <color indexed="8"/>
      <name val="Calibri"/>
      <family val="2"/>
    </font>
    <font>
      <u/>
      <sz val="8"/>
      <color indexed="12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51">
    <xf numFmtId="0" fontId="0" fillId="0" borderId="0"/>
    <xf numFmtId="170" fontId="2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1" fillId="0" borderId="0"/>
    <xf numFmtId="9" fontId="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/>
    <xf numFmtId="0" fontId="5" fillId="0" borderId="0" xfId="0" applyFont="1"/>
    <xf numFmtId="0" fontId="4" fillId="0" borderId="2" xfId="0" applyFont="1" applyFill="1" applyBorder="1"/>
    <xf numFmtId="0" fontId="6" fillId="0" borderId="0" xfId="0" applyFont="1"/>
    <xf numFmtId="0" fontId="5" fillId="0" borderId="0" xfId="0" quotePrefix="1" applyFont="1"/>
    <xf numFmtId="3" fontId="5" fillId="0" borderId="3" xfId="0" applyNumberFormat="1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3" fontId="6" fillId="0" borderId="4" xfId="0" applyNumberFormat="1" applyFont="1" applyBorder="1"/>
    <xf numFmtId="0" fontId="6" fillId="0" borderId="4" xfId="0" applyFont="1" applyBorder="1"/>
    <xf numFmtId="0" fontId="6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vertical="center"/>
    </xf>
    <xf numFmtId="17" fontId="5" fillId="0" borderId="0" xfId="0" quotePrefix="1" applyNumberFormat="1" applyFont="1"/>
    <xf numFmtId="0" fontId="9" fillId="0" borderId="0" xfId="0" applyFont="1"/>
    <xf numFmtId="0" fontId="4" fillId="0" borderId="0" xfId="0" applyFont="1"/>
    <xf numFmtId="0" fontId="8" fillId="0" borderId="0" xfId="2" applyAlignment="1" applyProtection="1"/>
    <xf numFmtId="0" fontId="10" fillId="0" borderId="0" xfId="2" applyFont="1" applyAlignment="1" applyProtection="1"/>
    <xf numFmtId="3" fontId="4" fillId="0" borderId="0" xfId="0" applyNumberFormat="1" applyFont="1" applyAlignment="1">
      <alignment horizontal="left"/>
    </xf>
    <xf numFmtId="0" fontId="3" fillId="0" borderId="0" xfId="3" applyFont="1"/>
    <xf numFmtId="0" fontId="4" fillId="0" borderId="0" xfId="3" applyFont="1"/>
    <xf numFmtId="0" fontId="3" fillId="0" borderId="0" xfId="0" applyFont="1"/>
    <xf numFmtId="17" fontId="5" fillId="0" borderId="0" xfId="0" applyNumberFormat="1" applyFont="1"/>
    <xf numFmtId="180" fontId="6" fillId="0" borderId="0" xfId="4" applyNumberFormat="1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pivotButton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3" fontId="0" fillId="0" borderId="0" xfId="0" applyNumberFormat="1"/>
    <xf numFmtId="181" fontId="15" fillId="0" borderId="0" xfId="0" applyNumberFormat="1" applyFont="1" applyAlignment="1">
      <alignment horizontal="left"/>
    </xf>
    <xf numFmtId="182" fontId="15" fillId="0" borderId="0" xfId="0" applyNumberFormat="1" applyFont="1"/>
    <xf numFmtId="2" fontId="15" fillId="0" borderId="0" xfId="0" applyNumberFormat="1" applyFont="1" applyAlignment="1">
      <alignment horizontal="right"/>
    </xf>
    <xf numFmtId="0" fontId="3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2" fontId="0" fillId="0" borderId="0" xfId="0" applyNumberFormat="1"/>
    <xf numFmtId="0" fontId="17" fillId="0" borderId="0" xfId="0" applyFont="1"/>
    <xf numFmtId="0" fontId="15" fillId="0" borderId="0" xfId="0" applyFont="1"/>
    <xf numFmtId="2" fontId="15" fillId="0" borderId="0" xfId="0" applyNumberFormat="1" applyFont="1"/>
    <xf numFmtId="0" fontId="16" fillId="0" borderId="0" xfId="0" applyFont="1"/>
    <xf numFmtId="0" fontId="13" fillId="0" borderId="0" xfId="0" applyFont="1"/>
    <xf numFmtId="0" fontId="0" fillId="0" borderId="0" xfId="0" applyNumberFormat="1"/>
    <xf numFmtId="0" fontId="0" fillId="0" borderId="0" xfId="0" applyFill="1" applyAlignment="1"/>
    <xf numFmtId="0" fontId="3" fillId="0" borderId="1" xfId="0" applyFont="1" applyFill="1" applyBorder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/>
    <xf numFmtId="180" fontId="6" fillId="0" borderId="0" xfId="50" applyNumberFormat="1" applyFont="1" applyFill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/>
    <xf numFmtId="3" fontId="6" fillId="0" borderId="0" xfId="0" applyNumberFormat="1" applyFont="1" applyBorder="1"/>
    <xf numFmtId="3" fontId="5" fillId="0" borderId="0" xfId="0" applyNumberFormat="1" applyFont="1" applyBorder="1"/>
    <xf numFmtId="0" fontId="18" fillId="0" borderId="0" xfId="0" applyFont="1"/>
    <xf numFmtId="2" fontId="19" fillId="0" borderId="0" xfId="0" applyNumberFormat="1" applyFont="1"/>
    <xf numFmtId="0" fontId="13" fillId="0" borderId="0" xfId="0" applyFont="1" applyAlignment="1">
      <alignment vertical="center" wrapText="1"/>
    </xf>
    <xf numFmtId="3" fontId="13" fillId="0" borderId="0" xfId="0" applyNumberFormat="1" applyFont="1" applyAlignment="1">
      <alignment horizontal="center" wrapText="1"/>
    </xf>
    <xf numFmtId="10" fontId="13" fillId="0" borderId="0" xfId="4" applyNumberFormat="1" applyFont="1" applyAlignment="1">
      <alignment horizontal="center" vertical="center" wrapText="1"/>
    </xf>
    <xf numFmtId="180" fontId="13" fillId="0" borderId="0" xfId="4" applyNumberFormat="1" applyFont="1" applyAlignment="1">
      <alignment horizontal="center" vertical="center" wrapText="1"/>
    </xf>
    <xf numFmtId="10" fontId="0" fillId="0" borderId="0" xfId="4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5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4" xfId="0" applyNumberFormat="1" applyBorder="1"/>
    <xf numFmtId="0" fontId="20" fillId="0" borderId="0" xfId="0" applyFont="1" applyAlignment="1">
      <alignment vertical="center" wrapText="1"/>
    </xf>
    <xf numFmtId="0" fontId="21" fillId="0" borderId="0" xfId="0" applyFont="1"/>
    <xf numFmtId="10" fontId="0" fillId="0" borderId="0" xfId="0" applyNumberFormat="1"/>
    <xf numFmtId="9" fontId="0" fillId="0" borderId="0" xfId="4" applyFont="1"/>
    <xf numFmtId="0" fontId="22" fillId="0" borderId="0" xfId="0" applyFont="1"/>
    <xf numFmtId="9" fontId="17" fillId="0" borderId="0" xfId="4" applyFont="1"/>
    <xf numFmtId="0" fontId="18" fillId="0" borderId="0" xfId="0" applyFont="1" applyBorder="1"/>
    <xf numFmtId="0" fontId="0" fillId="0" borderId="0" xfId="0" applyBorder="1"/>
    <xf numFmtId="0" fontId="13" fillId="0" borderId="0" xfId="0" applyFont="1" applyBorder="1"/>
    <xf numFmtId="170" fontId="0" fillId="0" borderId="0" xfId="1" applyFont="1" applyAlignment="1">
      <alignment horizontal="center"/>
    </xf>
    <xf numFmtId="170" fontId="23" fillId="0" borderId="3" xfId="1" applyFont="1" applyBorder="1" applyAlignment="1">
      <alignment horizontal="center"/>
    </xf>
    <xf numFmtId="170" fontId="23" fillId="0" borderId="0" xfId="1" applyFont="1" applyBorder="1" applyAlignment="1">
      <alignment horizontal="center"/>
    </xf>
  </cellXfs>
  <cellStyles count="51">
    <cellStyle name="Currency" xfId="1" builtinId="4"/>
    <cellStyle name="Hyperlink" xfId="2" builtinId="8"/>
    <cellStyle name="Normal" xfId="0" builtinId="0"/>
    <cellStyle name="Normal_OCH1 Central Sydney" xfId="3"/>
    <cellStyle name="Per cent" xfId="4" builtinId="5"/>
    <cellStyle name="Per cent 2" xfId="50"/>
    <cellStyle name="style1495016438661" xfId="5"/>
    <cellStyle name="style1495016438911" xfId="6"/>
    <cellStyle name="style1495016439051" xfId="7"/>
    <cellStyle name="style1495016439223" xfId="8"/>
    <cellStyle name="style1495016439395" xfId="9"/>
    <cellStyle name="style1495016439551" xfId="10"/>
    <cellStyle name="style1495016439692" xfId="11"/>
    <cellStyle name="style1495016441567" xfId="12"/>
    <cellStyle name="style1495016441692" xfId="13"/>
    <cellStyle name="style1495016441817" xfId="14"/>
    <cellStyle name="style1495016442004" xfId="15"/>
    <cellStyle name="style1495016442114" xfId="16"/>
    <cellStyle name="style1495016442254" xfId="17"/>
    <cellStyle name="style1495016442598" xfId="18"/>
    <cellStyle name="style1495016443082" xfId="19"/>
    <cellStyle name="style1495016444317" xfId="20"/>
    <cellStyle name="style1495016444411" xfId="21"/>
    <cellStyle name="style1495016444567" xfId="22"/>
    <cellStyle name="style1495016444661" xfId="23"/>
    <cellStyle name="style1495016444770" xfId="24"/>
    <cellStyle name="style1495016444864" xfId="25"/>
    <cellStyle name="style1495016444973" xfId="26"/>
    <cellStyle name="style1495016445082" xfId="27"/>
    <cellStyle name="style1495016445801" xfId="28"/>
    <cellStyle name="style1495016445911" xfId="29"/>
    <cellStyle name="style1495016446036" xfId="30"/>
    <cellStyle name="style1495016446176" xfId="31"/>
    <cellStyle name="style1495016446333" xfId="32"/>
    <cellStyle name="style1495016446473" xfId="33"/>
    <cellStyle name="style1495016446614" xfId="34"/>
    <cellStyle name="style1495016446723" xfId="35"/>
    <cellStyle name="style1495016446848" xfId="36"/>
    <cellStyle name="style1495016446973" xfId="37"/>
    <cellStyle name="style1495016447161" xfId="38"/>
    <cellStyle name="style1495016447254" xfId="39"/>
    <cellStyle name="style1495016447645" xfId="40"/>
    <cellStyle name="style1495016447833" xfId="41"/>
    <cellStyle name="style1495016447958" xfId="42"/>
    <cellStyle name="style1495016475739" xfId="43"/>
    <cellStyle name="style1495016475880" xfId="44"/>
    <cellStyle name="style1495016475973" xfId="45"/>
    <cellStyle name="style1495016477395" xfId="46"/>
    <cellStyle name="style1495016478192" xfId="47"/>
    <cellStyle name="style1495016480973" xfId="48"/>
    <cellStyle name="style1495016485311" xf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Real and Nominal</a:t>
            </a:r>
            <a:r>
              <a:rPr lang="en-GB" baseline="0"/>
              <a:t> Median Price of All Dwellings in Sydney (Figure 1)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1'!$C$4</c:f>
              <c:strCache>
                <c:ptCount val="1"/>
                <c:pt idx="0">
                  <c:v>Nominal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1'!$B$5:$B$109</c:f>
              <c:numCache>
                <c:formatCode>mmm\-yy</c:formatCode>
                <c:ptCount val="105"/>
                <c:pt idx="0">
                  <c:v>33298</c:v>
                </c:pt>
                <c:pt idx="1">
                  <c:v>33390</c:v>
                </c:pt>
                <c:pt idx="2">
                  <c:v>33482</c:v>
                </c:pt>
                <c:pt idx="3">
                  <c:v>33573</c:v>
                </c:pt>
                <c:pt idx="4">
                  <c:v>33664</c:v>
                </c:pt>
                <c:pt idx="5">
                  <c:v>33756</c:v>
                </c:pt>
                <c:pt idx="6">
                  <c:v>33848</c:v>
                </c:pt>
                <c:pt idx="7">
                  <c:v>33939</c:v>
                </c:pt>
                <c:pt idx="8">
                  <c:v>34029</c:v>
                </c:pt>
                <c:pt idx="9">
                  <c:v>34121</c:v>
                </c:pt>
                <c:pt idx="10">
                  <c:v>34213</c:v>
                </c:pt>
                <c:pt idx="11">
                  <c:v>34304</c:v>
                </c:pt>
                <c:pt idx="12">
                  <c:v>34394</c:v>
                </c:pt>
                <c:pt idx="13">
                  <c:v>34486</c:v>
                </c:pt>
                <c:pt idx="14">
                  <c:v>34578</c:v>
                </c:pt>
                <c:pt idx="15">
                  <c:v>34669</c:v>
                </c:pt>
                <c:pt idx="16">
                  <c:v>34759</c:v>
                </c:pt>
                <c:pt idx="17">
                  <c:v>34851</c:v>
                </c:pt>
                <c:pt idx="18">
                  <c:v>34943</c:v>
                </c:pt>
                <c:pt idx="19">
                  <c:v>35034</c:v>
                </c:pt>
                <c:pt idx="20">
                  <c:v>35125</c:v>
                </c:pt>
                <c:pt idx="21">
                  <c:v>35217</c:v>
                </c:pt>
                <c:pt idx="22">
                  <c:v>35309</c:v>
                </c:pt>
                <c:pt idx="23">
                  <c:v>35400</c:v>
                </c:pt>
                <c:pt idx="24">
                  <c:v>35490</c:v>
                </c:pt>
                <c:pt idx="25">
                  <c:v>35582</c:v>
                </c:pt>
                <c:pt idx="26">
                  <c:v>35674</c:v>
                </c:pt>
                <c:pt idx="27">
                  <c:v>35765</c:v>
                </c:pt>
                <c:pt idx="28">
                  <c:v>35855</c:v>
                </c:pt>
                <c:pt idx="29">
                  <c:v>35947</c:v>
                </c:pt>
                <c:pt idx="30">
                  <c:v>36039</c:v>
                </c:pt>
                <c:pt idx="31">
                  <c:v>36130</c:v>
                </c:pt>
                <c:pt idx="32">
                  <c:v>36220</c:v>
                </c:pt>
                <c:pt idx="33">
                  <c:v>36312</c:v>
                </c:pt>
                <c:pt idx="34">
                  <c:v>36404</c:v>
                </c:pt>
                <c:pt idx="35">
                  <c:v>36495</c:v>
                </c:pt>
                <c:pt idx="36">
                  <c:v>36586</c:v>
                </c:pt>
                <c:pt idx="37">
                  <c:v>36678</c:v>
                </c:pt>
                <c:pt idx="38">
                  <c:v>36770</c:v>
                </c:pt>
                <c:pt idx="39">
                  <c:v>36861</c:v>
                </c:pt>
                <c:pt idx="40">
                  <c:v>36951</c:v>
                </c:pt>
                <c:pt idx="41">
                  <c:v>37043</c:v>
                </c:pt>
                <c:pt idx="42">
                  <c:v>37135</c:v>
                </c:pt>
                <c:pt idx="43">
                  <c:v>37226</c:v>
                </c:pt>
                <c:pt idx="44">
                  <c:v>37316</c:v>
                </c:pt>
                <c:pt idx="45">
                  <c:v>37408</c:v>
                </c:pt>
                <c:pt idx="46">
                  <c:v>37500</c:v>
                </c:pt>
                <c:pt idx="47">
                  <c:v>37591</c:v>
                </c:pt>
                <c:pt idx="48">
                  <c:v>37681</c:v>
                </c:pt>
                <c:pt idx="49">
                  <c:v>37773</c:v>
                </c:pt>
                <c:pt idx="50">
                  <c:v>37865</c:v>
                </c:pt>
                <c:pt idx="51">
                  <c:v>37956</c:v>
                </c:pt>
                <c:pt idx="52">
                  <c:v>38047</c:v>
                </c:pt>
                <c:pt idx="53">
                  <c:v>38139</c:v>
                </c:pt>
                <c:pt idx="54">
                  <c:v>38231</c:v>
                </c:pt>
                <c:pt idx="55">
                  <c:v>38322</c:v>
                </c:pt>
                <c:pt idx="56">
                  <c:v>38412</c:v>
                </c:pt>
                <c:pt idx="57">
                  <c:v>38504</c:v>
                </c:pt>
                <c:pt idx="58">
                  <c:v>38596</c:v>
                </c:pt>
                <c:pt idx="59">
                  <c:v>38687</c:v>
                </c:pt>
                <c:pt idx="60">
                  <c:v>38777</c:v>
                </c:pt>
                <c:pt idx="61">
                  <c:v>38869</c:v>
                </c:pt>
                <c:pt idx="62">
                  <c:v>38961</c:v>
                </c:pt>
                <c:pt idx="63">
                  <c:v>39052</c:v>
                </c:pt>
                <c:pt idx="64">
                  <c:v>39142</c:v>
                </c:pt>
                <c:pt idx="65">
                  <c:v>39234</c:v>
                </c:pt>
                <c:pt idx="66">
                  <c:v>39326</c:v>
                </c:pt>
                <c:pt idx="67">
                  <c:v>39417</c:v>
                </c:pt>
                <c:pt idx="68">
                  <c:v>39508</c:v>
                </c:pt>
                <c:pt idx="69">
                  <c:v>39600</c:v>
                </c:pt>
                <c:pt idx="70">
                  <c:v>39692</c:v>
                </c:pt>
                <c:pt idx="71">
                  <c:v>39783</c:v>
                </c:pt>
                <c:pt idx="72">
                  <c:v>39873</c:v>
                </c:pt>
                <c:pt idx="73">
                  <c:v>39965</c:v>
                </c:pt>
                <c:pt idx="74">
                  <c:v>40057</c:v>
                </c:pt>
                <c:pt idx="75">
                  <c:v>40148</c:v>
                </c:pt>
                <c:pt idx="76">
                  <c:v>40238</c:v>
                </c:pt>
                <c:pt idx="77">
                  <c:v>40330</c:v>
                </c:pt>
                <c:pt idx="78">
                  <c:v>40422</c:v>
                </c:pt>
                <c:pt idx="79">
                  <c:v>40513</c:v>
                </c:pt>
                <c:pt idx="80">
                  <c:v>40603</c:v>
                </c:pt>
                <c:pt idx="81">
                  <c:v>40695</c:v>
                </c:pt>
                <c:pt idx="82">
                  <c:v>40787</c:v>
                </c:pt>
                <c:pt idx="83">
                  <c:v>40878</c:v>
                </c:pt>
                <c:pt idx="84">
                  <c:v>40969</c:v>
                </c:pt>
                <c:pt idx="85">
                  <c:v>41061</c:v>
                </c:pt>
                <c:pt idx="86">
                  <c:v>41153</c:v>
                </c:pt>
                <c:pt idx="87">
                  <c:v>41244</c:v>
                </c:pt>
                <c:pt idx="88">
                  <c:v>41334</c:v>
                </c:pt>
                <c:pt idx="89">
                  <c:v>41426</c:v>
                </c:pt>
                <c:pt idx="90">
                  <c:v>41518</c:v>
                </c:pt>
                <c:pt idx="91">
                  <c:v>41609</c:v>
                </c:pt>
                <c:pt idx="92">
                  <c:v>41699</c:v>
                </c:pt>
                <c:pt idx="93">
                  <c:v>41791</c:v>
                </c:pt>
                <c:pt idx="94">
                  <c:v>41883</c:v>
                </c:pt>
                <c:pt idx="95">
                  <c:v>41974</c:v>
                </c:pt>
                <c:pt idx="96">
                  <c:v>42064</c:v>
                </c:pt>
                <c:pt idx="97">
                  <c:v>42156</c:v>
                </c:pt>
                <c:pt idx="98">
                  <c:v>42248</c:v>
                </c:pt>
                <c:pt idx="99">
                  <c:v>42339</c:v>
                </c:pt>
                <c:pt idx="100">
                  <c:v>42430</c:v>
                </c:pt>
                <c:pt idx="101">
                  <c:v>42522</c:v>
                </c:pt>
                <c:pt idx="102">
                  <c:v>42614</c:v>
                </c:pt>
                <c:pt idx="103">
                  <c:v>42705</c:v>
                </c:pt>
                <c:pt idx="104">
                  <c:v>42795</c:v>
                </c:pt>
              </c:numCache>
            </c:numRef>
          </c:cat>
          <c:val>
            <c:numRef>
              <c:f>'Figure 1'!$C$5:$C$109</c:f>
              <c:numCache>
                <c:formatCode>#,##0</c:formatCode>
                <c:ptCount val="105"/>
                <c:pt idx="0">
                  <c:v>176</c:v>
                </c:pt>
                <c:pt idx="1">
                  <c:v>175</c:v>
                </c:pt>
                <c:pt idx="2">
                  <c:v>180</c:v>
                </c:pt>
                <c:pt idx="3">
                  <c:v>185</c:v>
                </c:pt>
                <c:pt idx="4">
                  <c:v>182</c:v>
                </c:pt>
                <c:pt idx="5">
                  <c:v>185</c:v>
                </c:pt>
                <c:pt idx="6">
                  <c:v>187</c:v>
                </c:pt>
                <c:pt idx="7">
                  <c:v>195</c:v>
                </c:pt>
                <c:pt idx="8">
                  <c:v>192</c:v>
                </c:pt>
                <c:pt idx="9">
                  <c:v>195</c:v>
                </c:pt>
                <c:pt idx="10">
                  <c:v>201</c:v>
                </c:pt>
                <c:pt idx="11">
                  <c:v>198</c:v>
                </c:pt>
                <c:pt idx="12">
                  <c:v>200</c:v>
                </c:pt>
                <c:pt idx="13">
                  <c:v>205</c:v>
                </c:pt>
                <c:pt idx="14">
                  <c:v>220</c:v>
                </c:pt>
                <c:pt idx="15">
                  <c:v>214</c:v>
                </c:pt>
                <c:pt idx="16">
                  <c:v>232</c:v>
                </c:pt>
                <c:pt idx="17">
                  <c:v>226</c:v>
                </c:pt>
                <c:pt idx="18">
                  <c:v>232</c:v>
                </c:pt>
                <c:pt idx="19">
                  <c:v>221</c:v>
                </c:pt>
                <c:pt idx="20">
                  <c:v>228</c:v>
                </c:pt>
                <c:pt idx="21">
                  <c:v>223</c:v>
                </c:pt>
                <c:pt idx="22">
                  <c:v>223</c:v>
                </c:pt>
                <c:pt idx="23">
                  <c:v>228</c:v>
                </c:pt>
                <c:pt idx="24">
                  <c:v>232</c:v>
                </c:pt>
                <c:pt idx="25">
                  <c:v>243</c:v>
                </c:pt>
                <c:pt idx="26">
                  <c:v>265</c:v>
                </c:pt>
                <c:pt idx="27">
                  <c:v>274</c:v>
                </c:pt>
                <c:pt idx="28">
                  <c:v>276</c:v>
                </c:pt>
                <c:pt idx="29">
                  <c:v>278</c:v>
                </c:pt>
                <c:pt idx="30">
                  <c:v>276</c:v>
                </c:pt>
                <c:pt idx="31">
                  <c:v>280</c:v>
                </c:pt>
                <c:pt idx="32">
                  <c:v>309</c:v>
                </c:pt>
                <c:pt idx="33">
                  <c:v>316</c:v>
                </c:pt>
                <c:pt idx="34">
                  <c:v>315</c:v>
                </c:pt>
                <c:pt idx="35">
                  <c:v>323</c:v>
                </c:pt>
                <c:pt idx="36">
                  <c:v>328</c:v>
                </c:pt>
                <c:pt idx="37">
                  <c:v>356</c:v>
                </c:pt>
                <c:pt idx="38">
                  <c:v>333</c:v>
                </c:pt>
                <c:pt idx="39">
                  <c:v>340</c:v>
                </c:pt>
                <c:pt idx="40">
                  <c:v>350</c:v>
                </c:pt>
                <c:pt idx="41">
                  <c:v>374</c:v>
                </c:pt>
                <c:pt idx="42">
                  <c:v>385</c:v>
                </c:pt>
                <c:pt idx="43">
                  <c:v>384</c:v>
                </c:pt>
                <c:pt idx="44">
                  <c:v>410</c:v>
                </c:pt>
                <c:pt idx="45">
                  <c:v>460</c:v>
                </c:pt>
                <c:pt idx="46">
                  <c:v>481</c:v>
                </c:pt>
                <c:pt idx="47">
                  <c:v>465</c:v>
                </c:pt>
                <c:pt idx="48">
                  <c:v>440</c:v>
                </c:pt>
                <c:pt idx="49">
                  <c:v>474</c:v>
                </c:pt>
                <c:pt idx="50">
                  <c:v>514</c:v>
                </c:pt>
                <c:pt idx="51">
                  <c:v>525</c:v>
                </c:pt>
                <c:pt idx="52">
                  <c:v>551</c:v>
                </c:pt>
                <c:pt idx="53">
                  <c:v>450</c:v>
                </c:pt>
                <c:pt idx="54">
                  <c:v>492</c:v>
                </c:pt>
                <c:pt idx="55">
                  <c:v>490</c:v>
                </c:pt>
                <c:pt idx="56">
                  <c:v>501</c:v>
                </c:pt>
                <c:pt idx="57">
                  <c:v>495</c:v>
                </c:pt>
                <c:pt idx="58">
                  <c:v>480</c:v>
                </c:pt>
                <c:pt idx="59">
                  <c:v>510</c:v>
                </c:pt>
                <c:pt idx="60">
                  <c:v>515</c:v>
                </c:pt>
                <c:pt idx="61">
                  <c:v>520</c:v>
                </c:pt>
                <c:pt idx="62">
                  <c:v>469</c:v>
                </c:pt>
                <c:pt idx="63">
                  <c:v>545</c:v>
                </c:pt>
                <c:pt idx="64">
                  <c:v>475</c:v>
                </c:pt>
                <c:pt idx="65">
                  <c:v>501</c:v>
                </c:pt>
                <c:pt idx="66">
                  <c:v>523</c:v>
                </c:pt>
                <c:pt idx="67">
                  <c:v>490</c:v>
                </c:pt>
                <c:pt idx="68">
                  <c:v>465</c:v>
                </c:pt>
                <c:pt idx="69">
                  <c:v>520</c:v>
                </c:pt>
                <c:pt idx="70">
                  <c:v>500</c:v>
                </c:pt>
                <c:pt idx="71">
                  <c:v>468</c:v>
                </c:pt>
                <c:pt idx="72">
                  <c:v>484</c:v>
                </c:pt>
                <c:pt idx="73">
                  <c:v>508</c:v>
                </c:pt>
                <c:pt idx="74">
                  <c:v>514</c:v>
                </c:pt>
                <c:pt idx="75">
                  <c:v>580</c:v>
                </c:pt>
                <c:pt idx="76">
                  <c:v>571</c:v>
                </c:pt>
                <c:pt idx="77">
                  <c:v>665</c:v>
                </c:pt>
                <c:pt idx="78">
                  <c:v>590</c:v>
                </c:pt>
                <c:pt idx="79">
                  <c:v>655</c:v>
                </c:pt>
                <c:pt idx="80">
                  <c:v>600</c:v>
                </c:pt>
                <c:pt idx="81">
                  <c:v>672</c:v>
                </c:pt>
                <c:pt idx="82">
                  <c:v>600</c:v>
                </c:pt>
                <c:pt idx="83">
                  <c:v>539</c:v>
                </c:pt>
                <c:pt idx="84">
                  <c:v>570</c:v>
                </c:pt>
                <c:pt idx="85">
                  <c:v>595</c:v>
                </c:pt>
                <c:pt idx="86">
                  <c:v>634</c:v>
                </c:pt>
                <c:pt idx="87">
                  <c:v>720</c:v>
                </c:pt>
                <c:pt idx="88">
                  <c:v>645</c:v>
                </c:pt>
                <c:pt idx="89">
                  <c:v>697</c:v>
                </c:pt>
                <c:pt idx="90">
                  <c:v>650</c:v>
                </c:pt>
                <c:pt idx="91">
                  <c:v>650</c:v>
                </c:pt>
                <c:pt idx="92">
                  <c:v>698</c:v>
                </c:pt>
                <c:pt idx="93">
                  <c:v>718</c:v>
                </c:pt>
                <c:pt idx="94">
                  <c:v>730</c:v>
                </c:pt>
                <c:pt idx="95">
                  <c:v>840</c:v>
                </c:pt>
                <c:pt idx="96">
                  <c:v>743</c:v>
                </c:pt>
                <c:pt idx="97">
                  <c:v>870</c:v>
                </c:pt>
                <c:pt idx="98">
                  <c:v>900</c:v>
                </c:pt>
                <c:pt idx="99">
                  <c:v>880</c:v>
                </c:pt>
                <c:pt idx="100">
                  <c:v>875</c:v>
                </c:pt>
                <c:pt idx="101">
                  <c:v>1043</c:v>
                </c:pt>
                <c:pt idx="102">
                  <c:v>895</c:v>
                </c:pt>
                <c:pt idx="103">
                  <c:v>1002</c:v>
                </c:pt>
                <c:pt idx="104">
                  <c:v>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A-6043-8002-B6F7BC6F5B10}"/>
            </c:ext>
          </c:extLst>
        </c:ser>
        <c:ser>
          <c:idx val="1"/>
          <c:order val="1"/>
          <c:tx>
            <c:strRef>
              <c:f>'Figure 1'!$D$4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1'!$B$5:$B$109</c:f>
              <c:numCache>
                <c:formatCode>mmm\-yy</c:formatCode>
                <c:ptCount val="105"/>
                <c:pt idx="0">
                  <c:v>33298</c:v>
                </c:pt>
                <c:pt idx="1">
                  <c:v>33390</c:v>
                </c:pt>
                <c:pt idx="2">
                  <c:v>33482</c:v>
                </c:pt>
                <c:pt idx="3">
                  <c:v>33573</c:v>
                </c:pt>
                <c:pt idx="4">
                  <c:v>33664</c:v>
                </c:pt>
                <c:pt idx="5">
                  <c:v>33756</c:v>
                </c:pt>
                <c:pt idx="6">
                  <c:v>33848</c:v>
                </c:pt>
                <c:pt idx="7">
                  <c:v>33939</c:v>
                </c:pt>
                <c:pt idx="8">
                  <c:v>34029</c:v>
                </c:pt>
                <c:pt idx="9">
                  <c:v>34121</c:v>
                </c:pt>
                <c:pt idx="10">
                  <c:v>34213</c:v>
                </c:pt>
                <c:pt idx="11">
                  <c:v>34304</c:v>
                </c:pt>
                <c:pt idx="12">
                  <c:v>34394</c:v>
                </c:pt>
                <c:pt idx="13">
                  <c:v>34486</c:v>
                </c:pt>
                <c:pt idx="14">
                  <c:v>34578</c:v>
                </c:pt>
                <c:pt idx="15">
                  <c:v>34669</c:v>
                </c:pt>
                <c:pt idx="16">
                  <c:v>34759</c:v>
                </c:pt>
                <c:pt idx="17">
                  <c:v>34851</c:v>
                </c:pt>
                <c:pt idx="18">
                  <c:v>34943</c:v>
                </c:pt>
                <c:pt idx="19">
                  <c:v>35034</c:v>
                </c:pt>
                <c:pt idx="20">
                  <c:v>35125</c:v>
                </c:pt>
                <c:pt idx="21">
                  <c:v>35217</c:v>
                </c:pt>
                <c:pt idx="22">
                  <c:v>35309</c:v>
                </c:pt>
                <c:pt idx="23">
                  <c:v>35400</c:v>
                </c:pt>
                <c:pt idx="24">
                  <c:v>35490</c:v>
                </c:pt>
                <c:pt idx="25">
                  <c:v>35582</c:v>
                </c:pt>
                <c:pt idx="26">
                  <c:v>35674</c:v>
                </c:pt>
                <c:pt idx="27">
                  <c:v>35765</c:v>
                </c:pt>
                <c:pt idx="28">
                  <c:v>35855</c:v>
                </c:pt>
                <c:pt idx="29">
                  <c:v>35947</c:v>
                </c:pt>
                <c:pt idx="30">
                  <c:v>36039</c:v>
                </c:pt>
                <c:pt idx="31">
                  <c:v>36130</c:v>
                </c:pt>
                <c:pt idx="32">
                  <c:v>36220</c:v>
                </c:pt>
                <c:pt idx="33">
                  <c:v>36312</c:v>
                </c:pt>
                <c:pt idx="34">
                  <c:v>36404</c:v>
                </c:pt>
                <c:pt idx="35">
                  <c:v>36495</c:v>
                </c:pt>
                <c:pt idx="36">
                  <c:v>36586</c:v>
                </c:pt>
                <c:pt idx="37">
                  <c:v>36678</c:v>
                </c:pt>
                <c:pt idx="38">
                  <c:v>36770</c:v>
                </c:pt>
                <c:pt idx="39">
                  <c:v>36861</c:v>
                </c:pt>
                <c:pt idx="40">
                  <c:v>36951</c:v>
                </c:pt>
                <c:pt idx="41">
                  <c:v>37043</c:v>
                </c:pt>
                <c:pt idx="42">
                  <c:v>37135</c:v>
                </c:pt>
                <c:pt idx="43">
                  <c:v>37226</c:v>
                </c:pt>
                <c:pt idx="44">
                  <c:v>37316</c:v>
                </c:pt>
                <c:pt idx="45">
                  <c:v>37408</c:v>
                </c:pt>
                <c:pt idx="46">
                  <c:v>37500</c:v>
                </c:pt>
                <c:pt idx="47">
                  <c:v>37591</c:v>
                </c:pt>
                <c:pt idx="48">
                  <c:v>37681</c:v>
                </c:pt>
                <c:pt idx="49">
                  <c:v>37773</c:v>
                </c:pt>
                <c:pt idx="50">
                  <c:v>37865</c:v>
                </c:pt>
                <c:pt idx="51">
                  <c:v>37956</c:v>
                </c:pt>
                <c:pt idx="52">
                  <c:v>38047</c:v>
                </c:pt>
                <c:pt idx="53">
                  <c:v>38139</c:v>
                </c:pt>
                <c:pt idx="54">
                  <c:v>38231</c:v>
                </c:pt>
                <c:pt idx="55">
                  <c:v>38322</c:v>
                </c:pt>
                <c:pt idx="56">
                  <c:v>38412</c:v>
                </c:pt>
                <c:pt idx="57">
                  <c:v>38504</c:v>
                </c:pt>
                <c:pt idx="58">
                  <c:v>38596</c:v>
                </c:pt>
                <c:pt idx="59">
                  <c:v>38687</c:v>
                </c:pt>
                <c:pt idx="60">
                  <c:v>38777</c:v>
                </c:pt>
                <c:pt idx="61">
                  <c:v>38869</c:v>
                </c:pt>
                <c:pt idx="62">
                  <c:v>38961</c:v>
                </c:pt>
                <c:pt idx="63">
                  <c:v>39052</c:v>
                </c:pt>
                <c:pt idx="64">
                  <c:v>39142</c:v>
                </c:pt>
                <c:pt idx="65">
                  <c:v>39234</c:v>
                </c:pt>
                <c:pt idx="66">
                  <c:v>39326</c:v>
                </c:pt>
                <c:pt idx="67">
                  <c:v>39417</c:v>
                </c:pt>
                <c:pt idx="68">
                  <c:v>39508</c:v>
                </c:pt>
                <c:pt idx="69">
                  <c:v>39600</c:v>
                </c:pt>
                <c:pt idx="70">
                  <c:v>39692</c:v>
                </c:pt>
                <c:pt idx="71">
                  <c:v>39783</c:v>
                </c:pt>
                <c:pt idx="72">
                  <c:v>39873</c:v>
                </c:pt>
                <c:pt idx="73">
                  <c:v>39965</c:v>
                </c:pt>
                <c:pt idx="74">
                  <c:v>40057</c:v>
                </c:pt>
                <c:pt idx="75">
                  <c:v>40148</c:v>
                </c:pt>
                <c:pt idx="76">
                  <c:v>40238</c:v>
                </c:pt>
                <c:pt idx="77">
                  <c:v>40330</c:v>
                </c:pt>
                <c:pt idx="78">
                  <c:v>40422</c:v>
                </c:pt>
                <c:pt idx="79">
                  <c:v>40513</c:v>
                </c:pt>
                <c:pt idx="80">
                  <c:v>40603</c:v>
                </c:pt>
                <c:pt idx="81">
                  <c:v>40695</c:v>
                </c:pt>
                <c:pt idx="82">
                  <c:v>40787</c:v>
                </c:pt>
                <c:pt idx="83">
                  <c:v>40878</c:v>
                </c:pt>
                <c:pt idx="84">
                  <c:v>40969</c:v>
                </c:pt>
                <c:pt idx="85">
                  <c:v>41061</c:v>
                </c:pt>
                <c:pt idx="86">
                  <c:v>41153</c:v>
                </c:pt>
                <c:pt idx="87">
                  <c:v>41244</c:v>
                </c:pt>
                <c:pt idx="88">
                  <c:v>41334</c:v>
                </c:pt>
                <c:pt idx="89">
                  <c:v>41426</c:v>
                </c:pt>
                <c:pt idx="90">
                  <c:v>41518</c:v>
                </c:pt>
                <c:pt idx="91">
                  <c:v>41609</c:v>
                </c:pt>
                <c:pt idx="92">
                  <c:v>41699</c:v>
                </c:pt>
                <c:pt idx="93">
                  <c:v>41791</c:v>
                </c:pt>
                <c:pt idx="94">
                  <c:v>41883</c:v>
                </c:pt>
                <c:pt idx="95">
                  <c:v>41974</c:v>
                </c:pt>
                <c:pt idx="96">
                  <c:v>42064</c:v>
                </c:pt>
                <c:pt idx="97">
                  <c:v>42156</c:v>
                </c:pt>
                <c:pt idx="98">
                  <c:v>42248</c:v>
                </c:pt>
                <c:pt idx="99">
                  <c:v>42339</c:v>
                </c:pt>
                <c:pt idx="100">
                  <c:v>42430</c:v>
                </c:pt>
                <c:pt idx="101">
                  <c:v>42522</c:v>
                </c:pt>
                <c:pt idx="102">
                  <c:v>42614</c:v>
                </c:pt>
                <c:pt idx="103">
                  <c:v>42705</c:v>
                </c:pt>
                <c:pt idx="104">
                  <c:v>42795</c:v>
                </c:pt>
              </c:numCache>
            </c:numRef>
          </c:cat>
          <c:val>
            <c:numRef>
              <c:f>'Figure 1'!$D$5:$D$109</c:f>
              <c:numCache>
                <c:formatCode>0.00</c:formatCode>
                <c:ptCount val="105"/>
                <c:pt idx="0">
                  <c:v>371.72679509632223</c:v>
                </c:pt>
                <c:pt idx="1">
                  <c:v>368.96853146853147</c:v>
                </c:pt>
                <c:pt idx="2">
                  <c:v>386.95187165775394</c:v>
                </c:pt>
                <c:pt idx="3">
                  <c:v>399.12343470483006</c:v>
                </c:pt>
                <c:pt idx="4">
                  <c:v>400.53284671532845</c:v>
                </c:pt>
                <c:pt idx="5">
                  <c:v>413.16666666666669</c:v>
                </c:pt>
                <c:pt idx="6">
                  <c:v>423.11819887429641</c:v>
                </c:pt>
                <c:pt idx="7">
                  <c:v>443.71698113207543</c:v>
                </c:pt>
                <c:pt idx="8">
                  <c:v>434.43151969981238</c:v>
                </c:pt>
                <c:pt idx="9">
                  <c:v>437.93296089385473</c:v>
                </c:pt>
                <c:pt idx="10">
                  <c:v>451.40782122905028</c:v>
                </c:pt>
                <c:pt idx="11">
                  <c:v>452.25</c:v>
                </c:pt>
                <c:pt idx="12">
                  <c:v>455.95463137996217</c:v>
                </c:pt>
                <c:pt idx="13">
                  <c:v>462.11214953271025</c:v>
                </c:pt>
                <c:pt idx="14">
                  <c:v>491.33333333333337</c:v>
                </c:pt>
                <c:pt idx="15">
                  <c:v>466.69801084990962</c:v>
                </c:pt>
                <c:pt idx="16">
                  <c:v>479.91766723842193</c:v>
                </c:pt>
                <c:pt idx="17">
                  <c:v>458.07731092436973</c:v>
                </c:pt>
                <c:pt idx="18">
                  <c:v>466.31999999999994</c:v>
                </c:pt>
                <c:pt idx="19">
                  <c:v>440.53884297520659</c:v>
                </c:pt>
                <c:pt idx="20">
                  <c:v>450.76721311475404</c:v>
                </c:pt>
                <c:pt idx="21">
                  <c:v>438.00977198697069</c:v>
                </c:pt>
                <c:pt idx="22">
                  <c:v>436.58766233766232</c:v>
                </c:pt>
                <c:pt idx="23">
                  <c:v>457.51747088186357</c:v>
                </c:pt>
                <c:pt idx="24">
                  <c:v>477.46075085324225</c:v>
                </c:pt>
                <c:pt idx="25">
                  <c:v>515.94718309859161</c:v>
                </c:pt>
                <c:pt idx="26">
                  <c:v>564.64664310954061</c:v>
                </c:pt>
                <c:pt idx="27">
                  <c:v>591.13416815742403</c:v>
                </c:pt>
                <c:pt idx="28">
                  <c:v>594.38571428571424</c:v>
                </c:pt>
                <c:pt idx="29">
                  <c:v>592.34628975265014</c:v>
                </c:pt>
                <c:pt idx="30">
                  <c:v>581.91608391608395</c:v>
                </c:pt>
                <c:pt idx="31">
                  <c:v>589.3193717277486</c:v>
                </c:pt>
                <c:pt idx="32">
                  <c:v>642.50689655172414</c:v>
                </c:pt>
                <c:pt idx="33">
                  <c:v>654.80412371134014</c:v>
                </c:pt>
                <c:pt idx="34">
                  <c:v>642.79187817258878</c:v>
                </c:pt>
                <c:pt idx="35">
                  <c:v>650.31385642737894</c:v>
                </c:pt>
                <c:pt idx="36">
                  <c:v>652.75247524752467</c:v>
                </c:pt>
                <c:pt idx="37">
                  <c:v>701.52941176470586</c:v>
                </c:pt>
                <c:pt idx="38">
                  <c:v>620.70788253477576</c:v>
                </c:pt>
                <c:pt idx="39">
                  <c:v>632.77777777777783</c:v>
                </c:pt>
                <c:pt idx="40">
                  <c:v>649.38461538461536</c:v>
                </c:pt>
                <c:pt idx="41">
                  <c:v>689.66972477064212</c:v>
                </c:pt>
                <c:pt idx="42">
                  <c:v>703.5</c:v>
                </c:pt>
                <c:pt idx="43">
                  <c:v>697.44578313252998</c:v>
                </c:pt>
                <c:pt idx="44">
                  <c:v>741.31934032983497</c:v>
                </c:pt>
                <c:pt idx="45">
                  <c:v>825.53571428571422</c:v>
                </c:pt>
                <c:pt idx="46">
                  <c:v>854.3240058910161</c:v>
                </c:pt>
                <c:pt idx="47">
                  <c:v>823.4801762114538</c:v>
                </c:pt>
                <c:pt idx="48">
                  <c:v>775.78947368421041</c:v>
                </c:pt>
                <c:pt idx="49">
                  <c:v>829.67198838896934</c:v>
                </c:pt>
                <c:pt idx="50">
                  <c:v>886.81545064377667</c:v>
                </c:pt>
                <c:pt idx="51">
                  <c:v>903.20970042796012</c:v>
                </c:pt>
                <c:pt idx="52">
                  <c:v>942.5617021276596</c:v>
                </c:pt>
                <c:pt idx="53">
                  <c:v>763.29113924050637</c:v>
                </c:pt>
                <c:pt idx="54">
                  <c:v>820.68049792531122</c:v>
                </c:pt>
                <c:pt idx="55">
                  <c:v>811.73076923076917</c:v>
                </c:pt>
                <c:pt idx="56">
                  <c:v>825.41803278688519</c:v>
                </c:pt>
                <c:pt idx="57">
                  <c:v>809.99999999999989</c:v>
                </c:pt>
                <c:pt idx="58">
                  <c:v>775.97855227882042</c:v>
                </c:pt>
                <c:pt idx="59">
                  <c:v>820.07999999999993</c:v>
                </c:pt>
                <c:pt idx="60">
                  <c:v>825.91755319148933</c:v>
                </c:pt>
                <c:pt idx="61">
                  <c:v>829.52380952380963</c:v>
                </c:pt>
                <c:pt idx="62">
                  <c:v>738.39947780678847</c:v>
                </c:pt>
                <c:pt idx="63">
                  <c:v>855.8203125</c:v>
                </c:pt>
                <c:pt idx="64">
                  <c:v>742.03367875647655</c:v>
                </c:pt>
                <c:pt idx="65">
                  <c:v>775.61745827984578</c:v>
                </c:pt>
                <c:pt idx="66">
                  <c:v>794.38035264483619</c:v>
                </c:pt>
                <c:pt idx="67">
                  <c:v>738.67499999999995</c:v>
                </c:pt>
                <c:pt idx="68">
                  <c:v>690.62807881773392</c:v>
                </c:pt>
                <c:pt idx="69">
                  <c:v>761.06796116504847</c:v>
                </c:pt>
                <c:pt idx="70">
                  <c:v>714.45497630331749</c:v>
                </c:pt>
                <c:pt idx="71">
                  <c:v>661.67409144196949</c:v>
                </c:pt>
                <c:pt idx="72">
                  <c:v>679.5157159487776</c:v>
                </c:pt>
                <c:pt idx="73">
                  <c:v>705.00345224395846</c:v>
                </c:pt>
                <c:pt idx="74">
                  <c:v>687.23281596452318</c:v>
                </c:pt>
                <c:pt idx="75">
                  <c:v>770.35242290748897</c:v>
                </c:pt>
                <c:pt idx="76">
                  <c:v>751.77510917030565</c:v>
                </c:pt>
                <c:pt idx="77">
                  <c:v>870.78175895765469</c:v>
                </c:pt>
                <c:pt idx="78">
                  <c:v>755.35031847133757</c:v>
                </c:pt>
                <c:pt idx="79">
                  <c:v>831.50526315789477</c:v>
                </c:pt>
                <c:pt idx="80">
                  <c:v>753.74999999999989</c:v>
                </c:pt>
                <c:pt idx="81">
                  <c:v>837.22314049586771</c:v>
                </c:pt>
                <c:pt idx="82">
                  <c:v>730.17154389505549</c:v>
                </c:pt>
                <c:pt idx="83">
                  <c:v>651.33667334669337</c:v>
                </c:pt>
                <c:pt idx="84">
                  <c:v>686.73326673326676</c:v>
                </c:pt>
                <c:pt idx="85">
                  <c:v>710.46534653465346</c:v>
                </c:pt>
                <c:pt idx="86">
                  <c:v>733.08149568552244</c:v>
                </c:pt>
                <c:pt idx="87">
                  <c:v>826.18458610846824</c:v>
                </c:pt>
                <c:pt idx="88">
                  <c:v>734.53257790368264</c:v>
                </c:pt>
                <c:pt idx="89">
                  <c:v>788.53846153846143</c:v>
                </c:pt>
                <c:pt idx="90">
                  <c:v>722.48847926267285</c:v>
                </c:pt>
                <c:pt idx="91">
                  <c:v>717.85714285714278</c:v>
                </c:pt>
                <c:pt idx="92">
                  <c:v>767.3546034639927</c:v>
                </c:pt>
                <c:pt idx="93">
                  <c:v>781.50541516245482</c:v>
                </c:pt>
                <c:pt idx="94">
                  <c:v>788.16472694717993</c:v>
                </c:pt>
                <c:pt idx="95">
                  <c:v>899.6802841918294</c:v>
                </c:pt>
                <c:pt idx="96">
                  <c:v>788.7834507042254</c:v>
                </c:pt>
                <c:pt idx="97">
                  <c:v>913.15926892950381</c:v>
                </c:pt>
                <c:pt idx="98">
                  <c:v>943.00608166811469</c:v>
                </c:pt>
                <c:pt idx="99">
                  <c:v>919.65337954939332</c:v>
                </c:pt>
                <c:pt idx="100">
                  <c:v>910.48317515099211</c:v>
                </c:pt>
                <c:pt idx="101">
                  <c:v>1077.8560411311055</c:v>
                </c:pt>
                <c:pt idx="102">
                  <c:v>911.63006756756738</c:v>
                </c:pt>
                <c:pt idx="103">
                  <c:v>1015.4722689075629</c:v>
                </c:pt>
                <c:pt idx="104">
                  <c:v>875.80968280467448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A-6043-8002-B6F7BC6F5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505328"/>
        <c:axId val="1812370032"/>
      </c:lineChart>
      <c:dateAx>
        <c:axId val="181250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70032"/>
        <c:crosses val="autoZero"/>
        <c:auto val="1"/>
        <c:lblOffset val="100"/>
        <c:baseTimeUnit val="months"/>
        <c:majorUnit val="12"/>
        <c:majorTimeUnit val="months"/>
      </c:dateAx>
      <c:valAx>
        <c:axId val="18123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Housing Prices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Real</a:t>
            </a:r>
            <a:r>
              <a:rPr lang="en-GB" baseline="0"/>
              <a:t> Median Price of All Dwellings (Figure 2)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2'!$C$3</c:f>
              <c:strCache>
                <c:ptCount val="1"/>
                <c:pt idx="0">
                  <c:v>Ryde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2'!$B$4:$B$109</c:f>
              <c:numCache>
                <c:formatCode>mmm\-yy</c:formatCode>
                <c:ptCount val="106"/>
                <c:pt idx="0">
                  <c:v>33298</c:v>
                </c:pt>
                <c:pt idx="1">
                  <c:v>33390</c:v>
                </c:pt>
                <c:pt idx="2">
                  <c:v>33482</c:v>
                </c:pt>
                <c:pt idx="3">
                  <c:v>33573</c:v>
                </c:pt>
                <c:pt idx="4">
                  <c:v>33664</c:v>
                </c:pt>
                <c:pt idx="5">
                  <c:v>33756</c:v>
                </c:pt>
                <c:pt idx="6">
                  <c:v>33848</c:v>
                </c:pt>
                <c:pt idx="7">
                  <c:v>33939</c:v>
                </c:pt>
                <c:pt idx="8">
                  <c:v>34029</c:v>
                </c:pt>
                <c:pt idx="9">
                  <c:v>34121</c:v>
                </c:pt>
                <c:pt idx="10">
                  <c:v>34213</c:v>
                </c:pt>
                <c:pt idx="11">
                  <c:v>34304</c:v>
                </c:pt>
                <c:pt idx="12">
                  <c:v>34394</c:v>
                </c:pt>
                <c:pt idx="13">
                  <c:v>34486</c:v>
                </c:pt>
                <c:pt idx="14">
                  <c:v>34578</c:v>
                </c:pt>
                <c:pt idx="15">
                  <c:v>34669</c:v>
                </c:pt>
                <c:pt idx="16">
                  <c:v>34759</c:v>
                </c:pt>
                <c:pt idx="17">
                  <c:v>34851</c:v>
                </c:pt>
                <c:pt idx="18">
                  <c:v>34943</c:v>
                </c:pt>
                <c:pt idx="19">
                  <c:v>35034</c:v>
                </c:pt>
                <c:pt idx="20">
                  <c:v>35125</c:v>
                </c:pt>
                <c:pt idx="21">
                  <c:v>35217</c:v>
                </c:pt>
                <c:pt idx="22">
                  <c:v>35309</c:v>
                </c:pt>
                <c:pt idx="23">
                  <c:v>35400</c:v>
                </c:pt>
                <c:pt idx="24">
                  <c:v>35490</c:v>
                </c:pt>
                <c:pt idx="25">
                  <c:v>35582</c:v>
                </c:pt>
                <c:pt idx="26">
                  <c:v>35674</c:v>
                </c:pt>
                <c:pt idx="27">
                  <c:v>35765</c:v>
                </c:pt>
                <c:pt idx="28">
                  <c:v>35855</c:v>
                </c:pt>
                <c:pt idx="29">
                  <c:v>35947</c:v>
                </c:pt>
                <c:pt idx="30">
                  <c:v>36039</c:v>
                </c:pt>
                <c:pt idx="31">
                  <c:v>36130</c:v>
                </c:pt>
                <c:pt idx="32">
                  <c:v>36220</c:v>
                </c:pt>
                <c:pt idx="33">
                  <c:v>36312</c:v>
                </c:pt>
                <c:pt idx="34">
                  <c:v>36404</c:v>
                </c:pt>
                <c:pt idx="35">
                  <c:v>36495</c:v>
                </c:pt>
                <c:pt idx="36">
                  <c:v>36586</c:v>
                </c:pt>
                <c:pt idx="37">
                  <c:v>36678</c:v>
                </c:pt>
                <c:pt idx="38">
                  <c:v>36770</c:v>
                </c:pt>
                <c:pt idx="39">
                  <c:v>36861</c:v>
                </c:pt>
                <c:pt idx="40">
                  <c:v>36951</c:v>
                </c:pt>
                <c:pt idx="41">
                  <c:v>37043</c:v>
                </c:pt>
                <c:pt idx="42">
                  <c:v>37135</c:v>
                </c:pt>
                <c:pt idx="43">
                  <c:v>37226</c:v>
                </c:pt>
                <c:pt idx="44">
                  <c:v>37316</c:v>
                </c:pt>
                <c:pt idx="45">
                  <c:v>37408</c:v>
                </c:pt>
                <c:pt idx="46">
                  <c:v>37500</c:v>
                </c:pt>
                <c:pt idx="47">
                  <c:v>37591</c:v>
                </c:pt>
                <c:pt idx="48">
                  <c:v>37681</c:v>
                </c:pt>
                <c:pt idx="49">
                  <c:v>37773</c:v>
                </c:pt>
                <c:pt idx="50">
                  <c:v>37865</c:v>
                </c:pt>
                <c:pt idx="51">
                  <c:v>37956</c:v>
                </c:pt>
                <c:pt idx="52">
                  <c:v>38047</c:v>
                </c:pt>
                <c:pt idx="53">
                  <c:v>38139</c:v>
                </c:pt>
                <c:pt idx="54">
                  <c:v>38231</c:v>
                </c:pt>
                <c:pt idx="55">
                  <c:v>38322</c:v>
                </c:pt>
                <c:pt idx="56">
                  <c:v>38412</c:v>
                </c:pt>
                <c:pt idx="57">
                  <c:v>38504</c:v>
                </c:pt>
                <c:pt idx="58">
                  <c:v>38596</c:v>
                </c:pt>
                <c:pt idx="59">
                  <c:v>38687</c:v>
                </c:pt>
                <c:pt idx="60">
                  <c:v>38777</c:v>
                </c:pt>
                <c:pt idx="61">
                  <c:v>38869</c:v>
                </c:pt>
                <c:pt idx="62">
                  <c:v>38961</c:v>
                </c:pt>
                <c:pt idx="63">
                  <c:v>39052</c:v>
                </c:pt>
                <c:pt idx="64">
                  <c:v>39142</c:v>
                </c:pt>
                <c:pt idx="65">
                  <c:v>39234</c:v>
                </c:pt>
                <c:pt idx="66">
                  <c:v>39326</c:v>
                </c:pt>
                <c:pt idx="67">
                  <c:v>39417</c:v>
                </c:pt>
                <c:pt idx="68">
                  <c:v>39508</c:v>
                </c:pt>
                <c:pt idx="69">
                  <c:v>39600</c:v>
                </c:pt>
                <c:pt idx="70">
                  <c:v>39692</c:v>
                </c:pt>
                <c:pt idx="71">
                  <c:v>39783</c:v>
                </c:pt>
                <c:pt idx="72">
                  <c:v>39873</c:v>
                </c:pt>
                <c:pt idx="73">
                  <c:v>39965</c:v>
                </c:pt>
                <c:pt idx="74">
                  <c:v>40057</c:v>
                </c:pt>
                <c:pt idx="75">
                  <c:v>40148</c:v>
                </c:pt>
                <c:pt idx="76">
                  <c:v>40238</c:v>
                </c:pt>
                <c:pt idx="77">
                  <c:v>40330</c:v>
                </c:pt>
                <c:pt idx="78">
                  <c:v>40422</c:v>
                </c:pt>
                <c:pt idx="79">
                  <c:v>40513</c:v>
                </c:pt>
                <c:pt idx="80">
                  <c:v>40603</c:v>
                </c:pt>
                <c:pt idx="81">
                  <c:v>40695</c:v>
                </c:pt>
                <c:pt idx="82">
                  <c:v>40787</c:v>
                </c:pt>
                <c:pt idx="83">
                  <c:v>40878</c:v>
                </c:pt>
                <c:pt idx="84">
                  <c:v>40969</c:v>
                </c:pt>
                <c:pt idx="85">
                  <c:v>41061</c:v>
                </c:pt>
                <c:pt idx="86">
                  <c:v>41153</c:v>
                </c:pt>
                <c:pt idx="87">
                  <c:v>41244</c:v>
                </c:pt>
                <c:pt idx="88">
                  <c:v>41334</c:v>
                </c:pt>
                <c:pt idx="89">
                  <c:v>41426</c:v>
                </c:pt>
                <c:pt idx="90">
                  <c:v>41518</c:v>
                </c:pt>
                <c:pt idx="91">
                  <c:v>41609</c:v>
                </c:pt>
                <c:pt idx="92">
                  <c:v>41699</c:v>
                </c:pt>
                <c:pt idx="93">
                  <c:v>41791</c:v>
                </c:pt>
                <c:pt idx="94">
                  <c:v>41883</c:v>
                </c:pt>
                <c:pt idx="95">
                  <c:v>41974</c:v>
                </c:pt>
                <c:pt idx="96">
                  <c:v>42064</c:v>
                </c:pt>
                <c:pt idx="97">
                  <c:v>42156</c:v>
                </c:pt>
                <c:pt idx="98">
                  <c:v>42248</c:v>
                </c:pt>
                <c:pt idx="99">
                  <c:v>42339</c:v>
                </c:pt>
                <c:pt idx="100">
                  <c:v>42430</c:v>
                </c:pt>
                <c:pt idx="101">
                  <c:v>42522</c:v>
                </c:pt>
                <c:pt idx="102">
                  <c:v>42614</c:v>
                </c:pt>
                <c:pt idx="103">
                  <c:v>42705</c:v>
                </c:pt>
                <c:pt idx="104">
                  <c:v>42795</c:v>
                </c:pt>
                <c:pt idx="105">
                  <c:v>42887</c:v>
                </c:pt>
              </c:numCache>
            </c:numRef>
          </c:cat>
          <c:val>
            <c:numRef>
              <c:f>'Figure 2'!$C$4:$C$109</c:f>
              <c:numCache>
                <c:formatCode>0.00</c:formatCode>
                <c:ptCount val="106"/>
                <c:pt idx="0">
                  <c:v>371.72679509632223</c:v>
                </c:pt>
                <c:pt idx="1">
                  <c:v>368.96853146853147</c:v>
                </c:pt>
                <c:pt idx="2">
                  <c:v>386.95187165775394</c:v>
                </c:pt>
                <c:pt idx="3">
                  <c:v>399.12343470483006</c:v>
                </c:pt>
                <c:pt idx="4">
                  <c:v>400.53284671532845</c:v>
                </c:pt>
                <c:pt idx="5">
                  <c:v>413.16666666666669</c:v>
                </c:pt>
                <c:pt idx="6">
                  <c:v>423.11819887429641</c:v>
                </c:pt>
                <c:pt idx="7">
                  <c:v>443.71698113207543</c:v>
                </c:pt>
                <c:pt idx="8">
                  <c:v>434.43151969981238</c:v>
                </c:pt>
                <c:pt idx="9">
                  <c:v>437.93296089385473</c:v>
                </c:pt>
                <c:pt idx="10">
                  <c:v>451.40782122905028</c:v>
                </c:pt>
                <c:pt idx="11">
                  <c:v>452.25</c:v>
                </c:pt>
                <c:pt idx="12">
                  <c:v>455.95463137996217</c:v>
                </c:pt>
                <c:pt idx="13">
                  <c:v>462.11214953271025</c:v>
                </c:pt>
                <c:pt idx="14">
                  <c:v>491.33333333333337</c:v>
                </c:pt>
                <c:pt idx="15">
                  <c:v>466.69801084990962</c:v>
                </c:pt>
                <c:pt idx="16">
                  <c:v>479.91766723842193</c:v>
                </c:pt>
                <c:pt idx="17">
                  <c:v>458.07731092436973</c:v>
                </c:pt>
                <c:pt idx="18">
                  <c:v>466.31999999999994</c:v>
                </c:pt>
                <c:pt idx="19">
                  <c:v>440.53884297520659</c:v>
                </c:pt>
                <c:pt idx="20">
                  <c:v>450.76721311475404</c:v>
                </c:pt>
                <c:pt idx="21">
                  <c:v>438.00977198697069</c:v>
                </c:pt>
                <c:pt idx="22">
                  <c:v>436.58766233766232</c:v>
                </c:pt>
                <c:pt idx="23">
                  <c:v>457.51747088186357</c:v>
                </c:pt>
                <c:pt idx="24">
                  <c:v>477.46075085324225</c:v>
                </c:pt>
                <c:pt idx="25">
                  <c:v>515.94718309859161</c:v>
                </c:pt>
                <c:pt idx="26">
                  <c:v>564.64664310954061</c:v>
                </c:pt>
                <c:pt idx="27">
                  <c:v>591.13416815742403</c:v>
                </c:pt>
                <c:pt idx="28">
                  <c:v>594.38571428571424</c:v>
                </c:pt>
                <c:pt idx="29">
                  <c:v>592.34628975265014</c:v>
                </c:pt>
                <c:pt idx="30">
                  <c:v>581.91608391608395</c:v>
                </c:pt>
                <c:pt idx="31">
                  <c:v>589.3193717277486</c:v>
                </c:pt>
                <c:pt idx="32">
                  <c:v>642.50689655172414</c:v>
                </c:pt>
                <c:pt idx="33">
                  <c:v>654.80412371134014</c:v>
                </c:pt>
                <c:pt idx="34">
                  <c:v>642.79187817258878</c:v>
                </c:pt>
                <c:pt idx="35">
                  <c:v>650.31385642737894</c:v>
                </c:pt>
                <c:pt idx="36">
                  <c:v>652.75247524752467</c:v>
                </c:pt>
                <c:pt idx="37">
                  <c:v>701.52941176470586</c:v>
                </c:pt>
                <c:pt idx="38">
                  <c:v>620.70788253477576</c:v>
                </c:pt>
                <c:pt idx="39">
                  <c:v>632.77777777777783</c:v>
                </c:pt>
                <c:pt idx="40">
                  <c:v>649.38461538461536</c:v>
                </c:pt>
                <c:pt idx="41">
                  <c:v>689.66972477064212</c:v>
                </c:pt>
                <c:pt idx="42">
                  <c:v>703.5</c:v>
                </c:pt>
                <c:pt idx="43">
                  <c:v>697.44578313252998</c:v>
                </c:pt>
                <c:pt idx="44">
                  <c:v>741.31934032983497</c:v>
                </c:pt>
                <c:pt idx="45">
                  <c:v>825.53571428571422</c:v>
                </c:pt>
                <c:pt idx="46">
                  <c:v>854.3240058910161</c:v>
                </c:pt>
                <c:pt idx="47">
                  <c:v>823.4801762114538</c:v>
                </c:pt>
                <c:pt idx="48">
                  <c:v>775.78947368421041</c:v>
                </c:pt>
                <c:pt idx="49">
                  <c:v>829.67198838896934</c:v>
                </c:pt>
                <c:pt idx="50">
                  <c:v>886.81545064377667</c:v>
                </c:pt>
                <c:pt idx="51">
                  <c:v>903.20970042796012</c:v>
                </c:pt>
                <c:pt idx="52">
                  <c:v>942.5617021276596</c:v>
                </c:pt>
                <c:pt idx="53">
                  <c:v>763.29113924050637</c:v>
                </c:pt>
                <c:pt idx="54">
                  <c:v>820.68049792531122</c:v>
                </c:pt>
                <c:pt idx="55">
                  <c:v>811.73076923076917</c:v>
                </c:pt>
                <c:pt idx="56">
                  <c:v>825.41803278688519</c:v>
                </c:pt>
                <c:pt idx="57">
                  <c:v>809.99999999999989</c:v>
                </c:pt>
                <c:pt idx="58">
                  <c:v>775.97855227882042</c:v>
                </c:pt>
                <c:pt idx="59">
                  <c:v>820.07999999999993</c:v>
                </c:pt>
                <c:pt idx="60">
                  <c:v>825.91755319148933</c:v>
                </c:pt>
                <c:pt idx="61">
                  <c:v>829.52380952380963</c:v>
                </c:pt>
                <c:pt idx="62">
                  <c:v>738.39947780678847</c:v>
                </c:pt>
                <c:pt idx="63">
                  <c:v>855.8203125</c:v>
                </c:pt>
                <c:pt idx="64">
                  <c:v>742.03367875647655</c:v>
                </c:pt>
                <c:pt idx="65">
                  <c:v>775.61745827984578</c:v>
                </c:pt>
                <c:pt idx="66">
                  <c:v>794.38035264483619</c:v>
                </c:pt>
                <c:pt idx="67">
                  <c:v>738.67499999999995</c:v>
                </c:pt>
                <c:pt idx="68">
                  <c:v>690.62807881773392</c:v>
                </c:pt>
                <c:pt idx="69">
                  <c:v>761.06796116504847</c:v>
                </c:pt>
                <c:pt idx="70">
                  <c:v>714.45497630331749</c:v>
                </c:pt>
                <c:pt idx="71">
                  <c:v>661.67409144196949</c:v>
                </c:pt>
                <c:pt idx="72">
                  <c:v>679.5157159487776</c:v>
                </c:pt>
                <c:pt idx="73">
                  <c:v>705.00345224395846</c:v>
                </c:pt>
                <c:pt idx="74">
                  <c:v>687.23281596452318</c:v>
                </c:pt>
                <c:pt idx="75">
                  <c:v>770.35242290748897</c:v>
                </c:pt>
                <c:pt idx="76">
                  <c:v>751.77510917030565</c:v>
                </c:pt>
                <c:pt idx="77">
                  <c:v>870.78175895765469</c:v>
                </c:pt>
                <c:pt idx="78">
                  <c:v>755.35031847133757</c:v>
                </c:pt>
                <c:pt idx="79">
                  <c:v>831.50526315789477</c:v>
                </c:pt>
                <c:pt idx="80">
                  <c:v>753.74999999999989</c:v>
                </c:pt>
                <c:pt idx="81">
                  <c:v>837.22314049586771</c:v>
                </c:pt>
                <c:pt idx="82">
                  <c:v>730.17154389505549</c:v>
                </c:pt>
                <c:pt idx="83">
                  <c:v>651.33667334669337</c:v>
                </c:pt>
                <c:pt idx="84">
                  <c:v>686.73326673326676</c:v>
                </c:pt>
                <c:pt idx="85">
                  <c:v>710.46534653465346</c:v>
                </c:pt>
                <c:pt idx="86">
                  <c:v>733.08149568552244</c:v>
                </c:pt>
                <c:pt idx="87">
                  <c:v>826.18458610846824</c:v>
                </c:pt>
                <c:pt idx="88">
                  <c:v>734.53257790368264</c:v>
                </c:pt>
                <c:pt idx="89">
                  <c:v>788.53846153846143</c:v>
                </c:pt>
                <c:pt idx="90">
                  <c:v>722.48847926267285</c:v>
                </c:pt>
                <c:pt idx="91">
                  <c:v>717.85714285714278</c:v>
                </c:pt>
                <c:pt idx="92">
                  <c:v>767.3546034639927</c:v>
                </c:pt>
                <c:pt idx="93">
                  <c:v>781.50541516245482</c:v>
                </c:pt>
                <c:pt idx="94">
                  <c:v>788.16472694717993</c:v>
                </c:pt>
                <c:pt idx="95">
                  <c:v>899.6802841918294</c:v>
                </c:pt>
                <c:pt idx="96">
                  <c:v>788.7834507042254</c:v>
                </c:pt>
                <c:pt idx="97">
                  <c:v>913.15926892950381</c:v>
                </c:pt>
                <c:pt idx="98">
                  <c:v>943.00608166811469</c:v>
                </c:pt>
                <c:pt idx="99">
                  <c:v>919.65337954939332</c:v>
                </c:pt>
                <c:pt idx="100">
                  <c:v>910.48317515099211</c:v>
                </c:pt>
                <c:pt idx="101">
                  <c:v>1077.8560411311055</c:v>
                </c:pt>
                <c:pt idx="102">
                  <c:v>911.63006756756738</c:v>
                </c:pt>
                <c:pt idx="103">
                  <c:v>1015.4722689075629</c:v>
                </c:pt>
                <c:pt idx="104">
                  <c:v>875.80968280467448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F-5F4F-8440-B3F6EC1120F8}"/>
            </c:ext>
          </c:extLst>
        </c:ser>
        <c:ser>
          <c:idx val="1"/>
          <c:order val="1"/>
          <c:tx>
            <c:strRef>
              <c:f>'Figure 2'!$D$3</c:f>
              <c:strCache>
                <c:ptCount val="1"/>
                <c:pt idx="0">
                  <c:v>Greater 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2'!$B$4:$B$109</c:f>
              <c:numCache>
                <c:formatCode>mmm\-yy</c:formatCode>
                <c:ptCount val="106"/>
                <c:pt idx="0">
                  <c:v>33298</c:v>
                </c:pt>
                <c:pt idx="1">
                  <c:v>33390</c:v>
                </c:pt>
                <c:pt idx="2">
                  <c:v>33482</c:v>
                </c:pt>
                <c:pt idx="3">
                  <c:v>33573</c:v>
                </c:pt>
                <c:pt idx="4">
                  <c:v>33664</c:v>
                </c:pt>
                <c:pt idx="5">
                  <c:v>33756</c:v>
                </c:pt>
                <c:pt idx="6">
                  <c:v>33848</c:v>
                </c:pt>
                <c:pt idx="7">
                  <c:v>33939</c:v>
                </c:pt>
                <c:pt idx="8">
                  <c:v>34029</c:v>
                </c:pt>
                <c:pt idx="9">
                  <c:v>34121</c:v>
                </c:pt>
                <c:pt idx="10">
                  <c:v>34213</c:v>
                </c:pt>
                <c:pt idx="11">
                  <c:v>34304</c:v>
                </c:pt>
                <c:pt idx="12">
                  <c:v>34394</c:v>
                </c:pt>
                <c:pt idx="13">
                  <c:v>34486</c:v>
                </c:pt>
                <c:pt idx="14">
                  <c:v>34578</c:v>
                </c:pt>
                <c:pt idx="15">
                  <c:v>34669</c:v>
                </c:pt>
                <c:pt idx="16">
                  <c:v>34759</c:v>
                </c:pt>
                <c:pt idx="17">
                  <c:v>34851</c:v>
                </c:pt>
                <c:pt idx="18">
                  <c:v>34943</c:v>
                </c:pt>
                <c:pt idx="19">
                  <c:v>35034</c:v>
                </c:pt>
                <c:pt idx="20">
                  <c:v>35125</c:v>
                </c:pt>
                <c:pt idx="21">
                  <c:v>35217</c:v>
                </c:pt>
                <c:pt idx="22">
                  <c:v>35309</c:v>
                </c:pt>
                <c:pt idx="23">
                  <c:v>35400</c:v>
                </c:pt>
                <c:pt idx="24">
                  <c:v>35490</c:v>
                </c:pt>
                <c:pt idx="25">
                  <c:v>35582</c:v>
                </c:pt>
                <c:pt idx="26">
                  <c:v>35674</c:v>
                </c:pt>
                <c:pt idx="27">
                  <c:v>35765</c:v>
                </c:pt>
                <c:pt idx="28">
                  <c:v>35855</c:v>
                </c:pt>
                <c:pt idx="29">
                  <c:v>35947</c:v>
                </c:pt>
                <c:pt idx="30">
                  <c:v>36039</c:v>
                </c:pt>
                <c:pt idx="31">
                  <c:v>36130</c:v>
                </c:pt>
                <c:pt idx="32">
                  <c:v>36220</c:v>
                </c:pt>
                <c:pt idx="33">
                  <c:v>36312</c:v>
                </c:pt>
                <c:pt idx="34">
                  <c:v>36404</c:v>
                </c:pt>
                <c:pt idx="35">
                  <c:v>36495</c:v>
                </c:pt>
                <c:pt idx="36">
                  <c:v>36586</c:v>
                </c:pt>
                <c:pt idx="37">
                  <c:v>36678</c:v>
                </c:pt>
                <c:pt idx="38">
                  <c:v>36770</c:v>
                </c:pt>
                <c:pt idx="39">
                  <c:v>36861</c:v>
                </c:pt>
                <c:pt idx="40">
                  <c:v>36951</c:v>
                </c:pt>
                <c:pt idx="41">
                  <c:v>37043</c:v>
                </c:pt>
                <c:pt idx="42">
                  <c:v>37135</c:v>
                </c:pt>
                <c:pt idx="43">
                  <c:v>37226</c:v>
                </c:pt>
                <c:pt idx="44">
                  <c:v>37316</c:v>
                </c:pt>
                <c:pt idx="45">
                  <c:v>37408</c:v>
                </c:pt>
                <c:pt idx="46">
                  <c:v>37500</c:v>
                </c:pt>
                <c:pt idx="47">
                  <c:v>37591</c:v>
                </c:pt>
                <c:pt idx="48">
                  <c:v>37681</c:v>
                </c:pt>
                <c:pt idx="49">
                  <c:v>37773</c:v>
                </c:pt>
                <c:pt idx="50">
                  <c:v>37865</c:v>
                </c:pt>
                <c:pt idx="51">
                  <c:v>37956</c:v>
                </c:pt>
                <c:pt idx="52">
                  <c:v>38047</c:v>
                </c:pt>
                <c:pt idx="53">
                  <c:v>38139</c:v>
                </c:pt>
                <c:pt idx="54">
                  <c:v>38231</c:v>
                </c:pt>
                <c:pt idx="55">
                  <c:v>38322</c:v>
                </c:pt>
                <c:pt idx="56">
                  <c:v>38412</c:v>
                </c:pt>
                <c:pt idx="57">
                  <c:v>38504</c:v>
                </c:pt>
                <c:pt idx="58">
                  <c:v>38596</c:v>
                </c:pt>
                <c:pt idx="59">
                  <c:v>38687</c:v>
                </c:pt>
                <c:pt idx="60">
                  <c:v>38777</c:v>
                </c:pt>
                <c:pt idx="61">
                  <c:v>38869</c:v>
                </c:pt>
                <c:pt idx="62">
                  <c:v>38961</c:v>
                </c:pt>
                <c:pt idx="63">
                  <c:v>39052</c:v>
                </c:pt>
                <c:pt idx="64">
                  <c:v>39142</c:v>
                </c:pt>
                <c:pt idx="65">
                  <c:v>39234</c:v>
                </c:pt>
                <c:pt idx="66">
                  <c:v>39326</c:v>
                </c:pt>
                <c:pt idx="67">
                  <c:v>39417</c:v>
                </c:pt>
                <c:pt idx="68">
                  <c:v>39508</c:v>
                </c:pt>
                <c:pt idx="69">
                  <c:v>39600</c:v>
                </c:pt>
                <c:pt idx="70">
                  <c:v>39692</c:v>
                </c:pt>
                <c:pt idx="71">
                  <c:v>39783</c:v>
                </c:pt>
                <c:pt idx="72">
                  <c:v>39873</c:v>
                </c:pt>
                <c:pt idx="73">
                  <c:v>39965</c:v>
                </c:pt>
                <c:pt idx="74">
                  <c:v>40057</c:v>
                </c:pt>
                <c:pt idx="75">
                  <c:v>40148</c:v>
                </c:pt>
                <c:pt idx="76">
                  <c:v>40238</c:v>
                </c:pt>
                <c:pt idx="77">
                  <c:v>40330</c:v>
                </c:pt>
                <c:pt idx="78">
                  <c:v>40422</c:v>
                </c:pt>
                <c:pt idx="79">
                  <c:v>40513</c:v>
                </c:pt>
                <c:pt idx="80">
                  <c:v>40603</c:v>
                </c:pt>
                <c:pt idx="81">
                  <c:v>40695</c:v>
                </c:pt>
                <c:pt idx="82">
                  <c:v>40787</c:v>
                </c:pt>
                <c:pt idx="83">
                  <c:v>40878</c:v>
                </c:pt>
                <c:pt idx="84">
                  <c:v>40969</c:v>
                </c:pt>
                <c:pt idx="85">
                  <c:v>41061</c:v>
                </c:pt>
                <c:pt idx="86">
                  <c:v>41153</c:v>
                </c:pt>
                <c:pt idx="87">
                  <c:v>41244</c:v>
                </c:pt>
                <c:pt idx="88">
                  <c:v>41334</c:v>
                </c:pt>
                <c:pt idx="89">
                  <c:v>41426</c:v>
                </c:pt>
                <c:pt idx="90">
                  <c:v>41518</c:v>
                </c:pt>
                <c:pt idx="91">
                  <c:v>41609</c:v>
                </c:pt>
                <c:pt idx="92">
                  <c:v>41699</c:v>
                </c:pt>
                <c:pt idx="93">
                  <c:v>41791</c:v>
                </c:pt>
                <c:pt idx="94">
                  <c:v>41883</c:v>
                </c:pt>
                <c:pt idx="95">
                  <c:v>41974</c:v>
                </c:pt>
                <c:pt idx="96">
                  <c:v>42064</c:v>
                </c:pt>
                <c:pt idx="97">
                  <c:v>42156</c:v>
                </c:pt>
                <c:pt idx="98">
                  <c:v>42248</c:v>
                </c:pt>
                <c:pt idx="99">
                  <c:v>42339</c:v>
                </c:pt>
                <c:pt idx="100">
                  <c:v>42430</c:v>
                </c:pt>
                <c:pt idx="101">
                  <c:v>42522</c:v>
                </c:pt>
                <c:pt idx="102">
                  <c:v>42614</c:v>
                </c:pt>
                <c:pt idx="103">
                  <c:v>42705</c:v>
                </c:pt>
                <c:pt idx="104">
                  <c:v>42795</c:v>
                </c:pt>
                <c:pt idx="105">
                  <c:v>42887</c:v>
                </c:pt>
              </c:numCache>
            </c:numRef>
          </c:cat>
          <c:val>
            <c:numRef>
              <c:f>'Figure 2'!$D$4:$D$109</c:f>
              <c:numCache>
                <c:formatCode>0.00</c:formatCode>
                <c:ptCount val="106"/>
                <c:pt idx="0">
                  <c:v>316.81</c:v>
                </c:pt>
                <c:pt idx="1">
                  <c:v>326.8</c:v>
                </c:pt>
                <c:pt idx="2">
                  <c:v>339.66</c:v>
                </c:pt>
                <c:pt idx="3">
                  <c:v>355.97</c:v>
                </c:pt>
                <c:pt idx="4">
                  <c:v>352.12</c:v>
                </c:pt>
                <c:pt idx="5">
                  <c:v>368.5</c:v>
                </c:pt>
                <c:pt idx="6">
                  <c:v>373.34</c:v>
                </c:pt>
                <c:pt idx="7">
                  <c:v>380</c:v>
                </c:pt>
                <c:pt idx="8">
                  <c:v>373.34</c:v>
                </c:pt>
                <c:pt idx="9">
                  <c:v>381.79</c:v>
                </c:pt>
                <c:pt idx="10">
                  <c:v>381.79</c:v>
                </c:pt>
                <c:pt idx="11">
                  <c:v>388.3</c:v>
                </c:pt>
                <c:pt idx="12">
                  <c:v>398.96</c:v>
                </c:pt>
                <c:pt idx="13">
                  <c:v>394.49</c:v>
                </c:pt>
                <c:pt idx="14">
                  <c:v>413.17</c:v>
                </c:pt>
                <c:pt idx="15">
                  <c:v>407.82</c:v>
                </c:pt>
                <c:pt idx="16">
                  <c:v>380.62</c:v>
                </c:pt>
                <c:pt idx="17">
                  <c:v>379.03</c:v>
                </c:pt>
                <c:pt idx="18">
                  <c:v>373.86</c:v>
                </c:pt>
                <c:pt idx="19">
                  <c:v>378.74</c:v>
                </c:pt>
                <c:pt idx="20">
                  <c:v>375.64</c:v>
                </c:pt>
                <c:pt idx="21">
                  <c:v>388.91</c:v>
                </c:pt>
                <c:pt idx="22">
                  <c:v>391.56</c:v>
                </c:pt>
                <c:pt idx="23">
                  <c:v>429.42</c:v>
                </c:pt>
                <c:pt idx="24">
                  <c:v>442.47</c:v>
                </c:pt>
                <c:pt idx="25">
                  <c:v>469.24</c:v>
                </c:pt>
                <c:pt idx="26">
                  <c:v>485.81</c:v>
                </c:pt>
                <c:pt idx="27">
                  <c:v>509.15</c:v>
                </c:pt>
                <c:pt idx="28">
                  <c:v>501.78</c:v>
                </c:pt>
                <c:pt idx="29">
                  <c:v>511.38</c:v>
                </c:pt>
                <c:pt idx="30">
                  <c:v>506.01</c:v>
                </c:pt>
                <c:pt idx="31">
                  <c:v>526.17999999999995</c:v>
                </c:pt>
                <c:pt idx="32">
                  <c:v>519.83000000000004</c:v>
                </c:pt>
                <c:pt idx="33">
                  <c:v>549.12</c:v>
                </c:pt>
                <c:pt idx="34">
                  <c:v>550.96</c:v>
                </c:pt>
                <c:pt idx="35">
                  <c:v>563.74</c:v>
                </c:pt>
                <c:pt idx="36">
                  <c:v>555.24</c:v>
                </c:pt>
                <c:pt idx="37">
                  <c:v>581.32000000000005</c:v>
                </c:pt>
                <c:pt idx="38">
                  <c:v>512.6</c:v>
                </c:pt>
                <c:pt idx="39">
                  <c:v>545.30999999999995</c:v>
                </c:pt>
                <c:pt idx="40">
                  <c:v>554.76</c:v>
                </c:pt>
                <c:pt idx="41">
                  <c:v>582.72</c:v>
                </c:pt>
                <c:pt idx="42">
                  <c:v>599.35</c:v>
                </c:pt>
                <c:pt idx="43">
                  <c:v>613.9</c:v>
                </c:pt>
                <c:pt idx="44">
                  <c:v>632.83000000000004</c:v>
                </c:pt>
                <c:pt idx="45">
                  <c:v>664.02</c:v>
                </c:pt>
                <c:pt idx="46">
                  <c:v>683.81</c:v>
                </c:pt>
                <c:pt idx="47">
                  <c:v>708.37</c:v>
                </c:pt>
                <c:pt idx="48">
                  <c:v>701.74</c:v>
                </c:pt>
                <c:pt idx="49">
                  <c:v>726.4</c:v>
                </c:pt>
                <c:pt idx="50">
                  <c:v>729.81</c:v>
                </c:pt>
                <c:pt idx="51">
                  <c:v>762.14</c:v>
                </c:pt>
                <c:pt idx="52">
                  <c:v>744.13</c:v>
                </c:pt>
                <c:pt idx="53">
                  <c:v>724.28</c:v>
                </c:pt>
                <c:pt idx="54">
                  <c:v>725.6</c:v>
                </c:pt>
                <c:pt idx="55">
                  <c:v>743.81</c:v>
                </c:pt>
                <c:pt idx="56">
                  <c:v>708.44</c:v>
                </c:pt>
                <c:pt idx="57">
                  <c:v>711.82</c:v>
                </c:pt>
                <c:pt idx="58">
                  <c:v>687.06</c:v>
                </c:pt>
                <c:pt idx="59">
                  <c:v>696.26</c:v>
                </c:pt>
                <c:pt idx="60">
                  <c:v>673.56</c:v>
                </c:pt>
                <c:pt idx="61">
                  <c:v>695.52</c:v>
                </c:pt>
                <c:pt idx="62">
                  <c:v>661.25</c:v>
                </c:pt>
                <c:pt idx="63">
                  <c:v>694.08</c:v>
                </c:pt>
                <c:pt idx="64">
                  <c:v>663.92</c:v>
                </c:pt>
                <c:pt idx="65">
                  <c:v>696.66</c:v>
                </c:pt>
                <c:pt idx="66">
                  <c:v>675.91</c:v>
                </c:pt>
                <c:pt idx="67">
                  <c:v>700.99</c:v>
                </c:pt>
                <c:pt idx="68">
                  <c:v>646.07000000000005</c:v>
                </c:pt>
                <c:pt idx="69">
                  <c:v>636.66</c:v>
                </c:pt>
                <c:pt idx="70">
                  <c:v>600.14</c:v>
                </c:pt>
                <c:pt idx="71">
                  <c:v>582.5</c:v>
                </c:pt>
                <c:pt idx="72">
                  <c:v>572.80999999999995</c:v>
                </c:pt>
                <c:pt idx="73">
                  <c:v>603.69000000000005</c:v>
                </c:pt>
                <c:pt idx="74">
                  <c:v>601.66</c:v>
                </c:pt>
                <c:pt idx="75">
                  <c:v>664.1</c:v>
                </c:pt>
                <c:pt idx="76">
                  <c:v>658.3</c:v>
                </c:pt>
                <c:pt idx="77">
                  <c:v>684.84</c:v>
                </c:pt>
                <c:pt idx="78">
                  <c:v>659.33</c:v>
                </c:pt>
                <c:pt idx="79">
                  <c:v>679.17</c:v>
                </c:pt>
                <c:pt idx="80">
                  <c:v>728.63</c:v>
                </c:pt>
                <c:pt idx="81">
                  <c:v>672.77</c:v>
                </c:pt>
                <c:pt idx="82">
                  <c:v>620.65</c:v>
                </c:pt>
                <c:pt idx="83">
                  <c:v>593.33000000000004</c:v>
                </c:pt>
                <c:pt idx="84">
                  <c:v>650.59</c:v>
                </c:pt>
                <c:pt idx="85">
                  <c:v>650.76</c:v>
                </c:pt>
                <c:pt idx="86">
                  <c:v>607.04999999999995</c:v>
                </c:pt>
                <c:pt idx="87">
                  <c:v>642.59</c:v>
                </c:pt>
                <c:pt idx="88">
                  <c:v>626.35</c:v>
                </c:pt>
                <c:pt idx="89">
                  <c:v>650.52</c:v>
                </c:pt>
                <c:pt idx="90">
                  <c:v>655.8</c:v>
                </c:pt>
                <c:pt idx="91">
                  <c:v>662.64</c:v>
                </c:pt>
                <c:pt idx="92">
                  <c:v>709.09</c:v>
                </c:pt>
                <c:pt idx="93">
                  <c:v>707.49</c:v>
                </c:pt>
                <c:pt idx="94">
                  <c:v>723.38</c:v>
                </c:pt>
                <c:pt idx="95">
                  <c:v>749.73</c:v>
                </c:pt>
                <c:pt idx="96">
                  <c:v>743.13</c:v>
                </c:pt>
                <c:pt idx="97">
                  <c:v>787.21</c:v>
                </c:pt>
                <c:pt idx="98">
                  <c:v>806.79</c:v>
                </c:pt>
                <c:pt idx="99">
                  <c:v>825.6</c:v>
                </c:pt>
                <c:pt idx="100">
                  <c:v>790.82</c:v>
                </c:pt>
                <c:pt idx="101">
                  <c:v>806.07</c:v>
                </c:pt>
                <c:pt idx="102">
                  <c:v>802.64</c:v>
                </c:pt>
                <c:pt idx="103">
                  <c:v>851.29</c:v>
                </c:pt>
                <c:pt idx="104">
                  <c:v>815.41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F-5F4F-8440-B3F6EC112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04655"/>
        <c:axId val="46077215"/>
      </c:lineChart>
      <c:dateAx>
        <c:axId val="4580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7215"/>
        <c:crosses val="autoZero"/>
        <c:auto val="1"/>
        <c:lblOffset val="100"/>
        <c:baseTimeUnit val="months"/>
        <c:majorUnit val="12"/>
        <c:majorTimeUnit val="months"/>
      </c:dateAx>
      <c:valAx>
        <c:axId val="460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Housing Prices ($'000)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Median House</a:t>
            </a:r>
            <a:r>
              <a:rPr lang="en-GB" baseline="0"/>
              <a:t> Prices in Sydnet By Dwelling Type (Figure 3)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3'!$C$3</c:f>
              <c:strCache>
                <c:ptCount val="1"/>
                <c:pt idx="0">
                  <c:v>All Dwelling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 3'!$B$4:$B$105</c:f>
              <c:numCache>
                <c:formatCode>mmm\-yy</c:formatCode>
                <c:ptCount val="102"/>
                <c:pt idx="0">
                  <c:v>33573</c:v>
                </c:pt>
                <c:pt idx="1">
                  <c:v>33664</c:v>
                </c:pt>
                <c:pt idx="2">
                  <c:v>33756</c:v>
                </c:pt>
                <c:pt idx="3">
                  <c:v>33848</c:v>
                </c:pt>
                <c:pt idx="4">
                  <c:v>33939</c:v>
                </c:pt>
                <c:pt idx="5">
                  <c:v>34029</c:v>
                </c:pt>
                <c:pt idx="6">
                  <c:v>34121</c:v>
                </c:pt>
                <c:pt idx="7">
                  <c:v>34213</c:v>
                </c:pt>
                <c:pt idx="8">
                  <c:v>34304</c:v>
                </c:pt>
                <c:pt idx="9">
                  <c:v>34394</c:v>
                </c:pt>
                <c:pt idx="10">
                  <c:v>34486</c:v>
                </c:pt>
                <c:pt idx="11">
                  <c:v>34578</c:v>
                </c:pt>
                <c:pt idx="12">
                  <c:v>34669</c:v>
                </c:pt>
                <c:pt idx="13">
                  <c:v>34759</c:v>
                </c:pt>
                <c:pt idx="14">
                  <c:v>34851</c:v>
                </c:pt>
                <c:pt idx="15">
                  <c:v>34943</c:v>
                </c:pt>
                <c:pt idx="16">
                  <c:v>35034</c:v>
                </c:pt>
                <c:pt idx="17">
                  <c:v>35125</c:v>
                </c:pt>
                <c:pt idx="18">
                  <c:v>35217</c:v>
                </c:pt>
                <c:pt idx="19">
                  <c:v>35309</c:v>
                </c:pt>
                <c:pt idx="20">
                  <c:v>35400</c:v>
                </c:pt>
                <c:pt idx="21">
                  <c:v>35490</c:v>
                </c:pt>
                <c:pt idx="22">
                  <c:v>35582</c:v>
                </c:pt>
                <c:pt idx="23">
                  <c:v>35674</c:v>
                </c:pt>
                <c:pt idx="24">
                  <c:v>35765</c:v>
                </c:pt>
                <c:pt idx="25">
                  <c:v>35855</c:v>
                </c:pt>
                <c:pt idx="26">
                  <c:v>35947</c:v>
                </c:pt>
                <c:pt idx="27">
                  <c:v>36039</c:v>
                </c:pt>
                <c:pt idx="28">
                  <c:v>36130</c:v>
                </c:pt>
                <c:pt idx="29">
                  <c:v>36220</c:v>
                </c:pt>
                <c:pt idx="30">
                  <c:v>36312</c:v>
                </c:pt>
                <c:pt idx="31">
                  <c:v>36404</c:v>
                </c:pt>
                <c:pt idx="32">
                  <c:v>36495</c:v>
                </c:pt>
                <c:pt idx="33">
                  <c:v>36586</c:v>
                </c:pt>
                <c:pt idx="34">
                  <c:v>36678</c:v>
                </c:pt>
                <c:pt idx="35">
                  <c:v>36770</c:v>
                </c:pt>
                <c:pt idx="36">
                  <c:v>36861</c:v>
                </c:pt>
                <c:pt idx="37">
                  <c:v>36951</c:v>
                </c:pt>
                <c:pt idx="38">
                  <c:v>37043</c:v>
                </c:pt>
                <c:pt idx="39">
                  <c:v>37135</c:v>
                </c:pt>
                <c:pt idx="40">
                  <c:v>37226</c:v>
                </c:pt>
                <c:pt idx="41">
                  <c:v>37316</c:v>
                </c:pt>
                <c:pt idx="42">
                  <c:v>37408</c:v>
                </c:pt>
                <c:pt idx="43">
                  <c:v>37500</c:v>
                </c:pt>
                <c:pt idx="44">
                  <c:v>37591</c:v>
                </c:pt>
                <c:pt idx="45">
                  <c:v>37681</c:v>
                </c:pt>
                <c:pt idx="46">
                  <c:v>37773</c:v>
                </c:pt>
                <c:pt idx="47">
                  <c:v>37865</c:v>
                </c:pt>
                <c:pt idx="48">
                  <c:v>37956</c:v>
                </c:pt>
                <c:pt idx="49">
                  <c:v>38047</c:v>
                </c:pt>
                <c:pt idx="50">
                  <c:v>38139</c:v>
                </c:pt>
                <c:pt idx="51">
                  <c:v>38231</c:v>
                </c:pt>
                <c:pt idx="52">
                  <c:v>38322</c:v>
                </c:pt>
                <c:pt idx="53">
                  <c:v>38412</c:v>
                </c:pt>
                <c:pt idx="54">
                  <c:v>38504</c:v>
                </c:pt>
                <c:pt idx="55">
                  <c:v>38596</c:v>
                </c:pt>
                <c:pt idx="56">
                  <c:v>38687</c:v>
                </c:pt>
                <c:pt idx="57">
                  <c:v>38777</c:v>
                </c:pt>
                <c:pt idx="58">
                  <c:v>38869</c:v>
                </c:pt>
                <c:pt idx="59">
                  <c:v>38961</c:v>
                </c:pt>
                <c:pt idx="60">
                  <c:v>39052</c:v>
                </c:pt>
                <c:pt idx="61">
                  <c:v>39142</c:v>
                </c:pt>
                <c:pt idx="62">
                  <c:v>39234</c:v>
                </c:pt>
                <c:pt idx="63">
                  <c:v>39326</c:v>
                </c:pt>
                <c:pt idx="64">
                  <c:v>39417</c:v>
                </c:pt>
                <c:pt idx="65">
                  <c:v>39508</c:v>
                </c:pt>
                <c:pt idx="66">
                  <c:v>39600</c:v>
                </c:pt>
                <c:pt idx="67">
                  <c:v>39692</c:v>
                </c:pt>
                <c:pt idx="68">
                  <c:v>39783</c:v>
                </c:pt>
                <c:pt idx="69">
                  <c:v>39873</c:v>
                </c:pt>
                <c:pt idx="70">
                  <c:v>39965</c:v>
                </c:pt>
                <c:pt idx="71">
                  <c:v>40057</c:v>
                </c:pt>
                <c:pt idx="72">
                  <c:v>40148</c:v>
                </c:pt>
                <c:pt idx="73">
                  <c:v>40238</c:v>
                </c:pt>
                <c:pt idx="74">
                  <c:v>40330</c:v>
                </c:pt>
                <c:pt idx="75">
                  <c:v>40422</c:v>
                </c:pt>
                <c:pt idx="76">
                  <c:v>40513</c:v>
                </c:pt>
                <c:pt idx="77">
                  <c:v>40603</c:v>
                </c:pt>
                <c:pt idx="78">
                  <c:v>40695</c:v>
                </c:pt>
                <c:pt idx="79">
                  <c:v>40787</c:v>
                </c:pt>
                <c:pt idx="80">
                  <c:v>40878</c:v>
                </c:pt>
                <c:pt idx="81">
                  <c:v>40969</c:v>
                </c:pt>
                <c:pt idx="82">
                  <c:v>41061</c:v>
                </c:pt>
                <c:pt idx="83">
                  <c:v>41153</c:v>
                </c:pt>
                <c:pt idx="84">
                  <c:v>41244</c:v>
                </c:pt>
                <c:pt idx="85">
                  <c:v>41334</c:v>
                </c:pt>
                <c:pt idx="86">
                  <c:v>41426</c:v>
                </c:pt>
                <c:pt idx="87">
                  <c:v>41518</c:v>
                </c:pt>
                <c:pt idx="88">
                  <c:v>41609</c:v>
                </c:pt>
                <c:pt idx="89">
                  <c:v>41699</c:v>
                </c:pt>
                <c:pt idx="90">
                  <c:v>41791</c:v>
                </c:pt>
                <c:pt idx="91">
                  <c:v>41883</c:v>
                </c:pt>
                <c:pt idx="92">
                  <c:v>41974</c:v>
                </c:pt>
                <c:pt idx="93">
                  <c:v>42064</c:v>
                </c:pt>
                <c:pt idx="94">
                  <c:v>42156</c:v>
                </c:pt>
                <c:pt idx="95">
                  <c:v>42248</c:v>
                </c:pt>
                <c:pt idx="96">
                  <c:v>42339</c:v>
                </c:pt>
                <c:pt idx="97">
                  <c:v>42430</c:v>
                </c:pt>
                <c:pt idx="98">
                  <c:v>42522</c:v>
                </c:pt>
                <c:pt idx="99">
                  <c:v>42614</c:v>
                </c:pt>
                <c:pt idx="100">
                  <c:v>42705</c:v>
                </c:pt>
                <c:pt idx="101">
                  <c:v>42795</c:v>
                </c:pt>
              </c:numCache>
            </c:numRef>
          </c:cat>
          <c:val>
            <c:numRef>
              <c:f>'Figure 3'!$C$4:$C$105</c:f>
              <c:numCache>
                <c:formatCode>0.00</c:formatCode>
                <c:ptCount val="102"/>
                <c:pt idx="0">
                  <c:v>399.12343470483006</c:v>
                </c:pt>
                <c:pt idx="1">
                  <c:v>400.53284671532845</c:v>
                </c:pt>
                <c:pt idx="2">
                  <c:v>413.16666666666669</c:v>
                </c:pt>
                <c:pt idx="3">
                  <c:v>423.11819887429641</c:v>
                </c:pt>
                <c:pt idx="4">
                  <c:v>443.71698113207543</c:v>
                </c:pt>
                <c:pt idx="5">
                  <c:v>434.43151969981238</c:v>
                </c:pt>
                <c:pt idx="6">
                  <c:v>437.93296089385473</c:v>
                </c:pt>
                <c:pt idx="7">
                  <c:v>451.40782122905028</c:v>
                </c:pt>
                <c:pt idx="8">
                  <c:v>452.25</c:v>
                </c:pt>
                <c:pt idx="9">
                  <c:v>455.95463137996217</c:v>
                </c:pt>
                <c:pt idx="10">
                  <c:v>462.11214953271025</c:v>
                </c:pt>
                <c:pt idx="11">
                  <c:v>491.33333333333337</c:v>
                </c:pt>
                <c:pt idx="12">
                  <c:v>466.69801084990962</c:v>
                </c:pt>
                <c:pt idx="13">
                  <c:v>479.91766723842193</c:v>
                </c:pt>
                <c:pt idx="14">
                  <c:v>458.07731092436973</c:v>
                </c:pt>
                <c:pt idx="15">
                  <c:v>466.31999999999994</c:v>
                </c:pt>
                <c:pt idx="16">
                  <c:v>440.53884297520659</c:v>
                </c:pt>
                <c:pt idx="17">
                  <c:v>450.76721311475404</c:v>
                </c:pt>
                <c:pt idx="18">
                  <c:v>438.00977198697069</c:v>
                </c:pt>
                <c:pt idx="19">
                  <c:v>436.58766233766232</c:v>
                </c:pt>
                <c:pt idx="20">
                  <c:v>457.51747088186357</c:v>
                </c:pt>
                <c:pt idx="21">
                  <c:v>477.46075085324225</c:v>
                </c:pt>
                <c:pt idx="22">
                  <c:v>515.94718309859161</c:v>
                </c:pt>
                <c:pt idx="23">
                  <c:v>564.64664310954061</c:v>
                </c:pt>
                <c:pt idx="24">
                  <c:v>591.13416815742403</c:v>
                </c:pt>
                <c:pt idx="25">
                  <c:v>594.38571428571424</c:v>
                </c:pt>
                <c:pt idx="26">
                  <c:v>592.34628975265014</c:v>
                </c:pt>
                <c:pt idx="27">
                  <c:v>581.91608391608395</c:v>
                </c:pt>
                <c:pt idx="28">
                  <c:v>589.3193717277486</c:v>
                </c:pt>
                <c:pt idx="29">
                  <c:v>642.50689655172414</c:v>
                </c:pt>
                <c:pt idx="30">
                  <c:v>654.80412371134014</c:v>
                </c:pt>
                <c:pt idx="31">
                  <c:v>642.79187817258878</c:v>
                </c:pt>
                <c:pt idx="32">
                  <c:v>650.31385642737894</c:v>
                </c:pt>
                <c:pt idx="33">
                  <c:v>652.75247524752467</c:v>
                </c:pt>
                <c:pt idx="34">
                  <c:v>701.52941176470586</c:v>
                </c:pt>
                <c:pt idx="35">
                  <c:v>620.70788253477576</c:v>
                </c:pt>
                <c:pt idx="36">
                  <c:v>632.77777777777783</c:v>
                </c:pt>
                <c:pt idx="37">
                  <c:v>649.38461538461536</c:v>
                </c:pt>
                <c:pt idx="38">
                  <c:v>689.66972477064212</c:v>
                </c:pt>
                <c:pt idx="39">
                  <c:v>703.5</c:v>
                </c:pt>
                <c:pt idx="40">
                  <c:v>697.44578313252998</c:v>
                </c:pt>
                <c:pt idx="41">
                  <c:v>741.31934032983497</c:v>
                </c:pt>
                <c:pt idx="42">
                  <c:v>825.53571428571422</c:v>
                </c:pt>
                <c:pt idx="43">
                  <c:v>854.3240058910161</c:v>
                </c:pt>
                <c:pt idx="44">
                  <c:v>823.4801762114538</c:v>
                </c:pt>
                <c:pt idx="45">
                  <c:v>775.78947368421041</c:v>
                </c:pt>
                <c:pt idx="46">
                  <c:v>829.67198838896934</c:v>
                </c:pt>
                <c:pt idx="47">
                  <c:v>886.81545064377667</c:v>
                </c:pt>
                <c:pt idx="48">
                  <c:v>903.20970042796012</c:v>
                </c:pt>
                <c:pt idx="49">
                  <c:v>942.5617021276596</c:v>
                </c:pt>
                <c:pt idx="50">
                  <c:v>763.29113924050637</c:v>
                </c:pt>
                <c:pt idx="51">
                  <c:v>820.68049792531122</c:v>
                </c:pt>
                <c:pt idx="52">
                  <c:v>811.73076923076917</c:v>
                </c:pt>
                <c:pt idx="53">
                  <c:v>825.41803278688519</c:v>
                </c:pt>
                <c:pt idx="54">
                  <c:v>809.99999999999989</c:v>
                </c:pt>
                <c:pt idx="55">
                  <c:v>775.97855227882042</c:v>
                </c:pt>
                <c:pt idx="56">
                  <c:v>820.07999999999993</c:v>
                </c:pt>
                <c:pt idx="57">
                  <c:v>825.91755319148933</c:v>
                </c:pt>
                <c:pt idx="58">
                  <c:v>829.52380952380963</c:v>
                </c:pt>
                <c:pt idx="59">
                  <c:v>738.39947780678847</c:v>
                </c:pt>
                <c:pt idx="60">
                  <c:v>855.8203125</c:v>
                </c:pt>
                <c:pt idx="61">
                  <c:v>742.03367875647655</c:v>
                </c:pt>
                <c:pt idx="62">
                  <c:v>775.61745827984578</c:v>
                </c:pt>
                <c:pt idx="63">
                  <c:v>794.38035264483619</c:v>
                </c:pt>
                <c:pt idx="64">
                  <c:v>738.67499999999995</c:v>
                </c:pt>
                <c:pt idx="65">
                  <c:v>690.62807881773392</c:v>
                </c:pt>
                <c:pt idx="66">
                  <c:v>761.06796116504847</c:v>
                </c:pt>
                <c:pt idx="67">
                  <c:v>714.45497630331749</c:v>
                </c:pt>
                <c:pt idx="68">
                  <c:v>661.67409144196949</c:v>
                </c:pt>
                <c:pt idx="69">
                  <c:v>679.5157159487776</c:v>
                </c:pt>
                <c:pt idx="70">
                  <c:v>705.00345224395846</c:v>
                </c:pt>
                <c:pt idx="71">
                  <c:v>687.23281596452318</c:v>
                </c:pt>
                <c:pt idx="72">
                  <c:v>770.35242290748897</c:v>
                </c:pt>
                <c:pt idx="73">
                  <c:v>751.77510917030565</c:v>
                </c:pt>
                <c:pt idx="74">
                  <c:v>870.78175895765469</c:v>
                </c:pt>
                <c:pt idx="75">
                  <c:v>755.35031847133757</c:v>
                </c:pt>
                <c:pt idx="76">
                  <c:v>831.50526315789477</c:v>
                </c:pt>
                <c:pt idx="77">
                  <c:v>753.74999999999989</c:v>
                </c:pt>
                <c:pt idx="78">
                  <c:v>837.22314049586771</c:v>
                </c:pt>
                <c:pt idx="79">
                  <c:v>730.17154389505549</c:v>
                </c:pt>
                <c:pt idx="80">
                  <c:v>651.33667334669337</c:v>
                </c:pt>
                <c:pt idx="81">
                  <c:v>686.73326673326676</c:v>
                </c:pt>
                <c:pt idx="82">
                  <c:v>710.46534653465346</c:v>
                </c:pt>
                <c:pt idx="83">
                  <c:v>733.08149568552244</c:v>
                </c:pt>
                <c:pt idx="84">
                  <c:v>826.18458610846824</c:v>
                </c:pt>
                <c:pt idx="85">
                  <c:v>734.53257790368264</c:v>
                </c:pt>
                <c:pt idx="86">
                  <c:v>788.53846153846143</c:v>
                </c:pt>
                <c:pt idx="87">
                  <c:v>722.48847926267285</c:v>
                </c:pt>
                <c:pt idx="88">
                  <c:v>717.85714285714278</c:v>
                </c:pt>
                <c:pt idx="89">
                  <c:v>767.3546034639927</c:v>
                </c:pt>
                <c:pt idx="90">
                  <c:v>781.50541516245482</c:v>
                </c:pt>
                <c:pt idx="91">
                  <c:v>788.16472694717993</c:v>
                </c:pt>
                <c:pt idx="92">
                  <c:v>899.6802841918294</c:v>
                </c:pt>
                <c:pt idx="93">
                  <c:v>788.7834507042254</c:v>
                </c:pt>
                <c:pt idx="94">
                  <c:v>913.15926892950381</c:v>
                </c:pt>
                <c:pt idx="95">
                  <c:v>943.00608166811469</c:v>
                </c:pt>
                <c:pt idx="96">
                  <c:v>919.65337954939332</c:v>
                </c:pt>
                <c:pt idx="97">
                  <c:v>910.48317515099211</c:v>
                </c:pt>
                <c:pt idx="98">
                  <c:v>1077.8560411311055</c:v>
                </c:pt>
                <c:pt idx="99">
                  <c:v>911.63006756756738</c:v>
                </c:pt>
                <c:pt idx="100">
                  <c:v>1015.4722689075629</c:v>
                </c:pt>
                <c:pt idx="101">
                  <c:v>875.80968280467448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1-2B48-A1E0-165C1855F27A}"/>
            </c:ext>
          </c:extLst>
        </c:ser>
        <c:ser>
          <c:idx val="1"/>
          <c:order val="1"/>
          <c:tx>
            <c:strRef>
              <c:f>'Figure 3'!$D$3</c:f>
              <c:strCache>
                <c:ptCount val="1"/>
                <c:pt idx="0">
                  <c:v>Non Strata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 3'!$B$4:$B$105</c:f>
              <c:numCache>
                <c:formatCode>mmm\-yy</c:formatCode>
                <c:ptCount val="102"/>
                <c:pt idx="0">
                  <c:v>33573</c:v>
                </c:pt>
                <c:pt idx="1">
                  <c:v>33664</c:v>
                </c:pt>
                <c:pt idx="2">
                  <c:v>33756</c:v>
                </c:pt>
                <c:pt idx="3">
                  <c:v>33848</c:v>
                </c:pt>
                <c:pt idx="4">
                  <c:v>33939</c:v>
                </c:pt>
                <c:pt idx="5">
                  <c:v>34029</c:v>
                </c:pt>
                <c:pt idx="6">
                  <c:v>34121</c:v>
                </c:pt>
                <c:pt idx="7">
                  <c:v>34213</c:v>
                </c:pt>
                <c:pt idx="8">
                  <c:v>34304</c:v>
                </c:pt>
                <c:pt idx="9">
                  <c:v>34394</c:v>
                </c:pt>
                <c:pt idx="10">
                  <c:v>34486</c:v>
                </c:pt>
                <c:pt idx="11">
                  <c:v>34578</c:v>
                </c:pt>
                <c:pt idx="12">
                  <c:v>34669</c:v>
                </c:pt>
                <c:pt idx="13">
                  <c:v>34759</c:v>
                </c:pt>
                <c:pt idx="14">
                  <c:v>34851</c:v>
                </c:pt>
                <c:pt idx="15">
                  <c:v>34943</c:v>
                </c:pt>
                <c:pt idx="16">
                  <c:v>35034</c:v>
                </c:pt>
                <c:pt idx="17">
                  <c:v>35125</c:v>
                </c:pt>
                <c:pt idx="18">
                  <c:v>35217</c:v>
                </c:pt>
                <c:pt idx="19">
                  <c:v>35309</c:v>
                </c:pt>
                <c:pt idx="20">
                  <c:v>35400</c:v>
                </c:pt>
                <c:pt idx="21">
                  <c:v>35490</c:v>
                </c:pt>
                <c:pt idx="22">
                  <c:v>35582</c:v>
                </c:pt>
                <c:pt idx="23">
                  <c:v>35674</c:v>
                </c:pt>
                <c:pt idx="24">
                  <c:v>35765</c:v>
                </c:pt>
                <c:pt idx="25">
                  <c:v>35855</c:v>
                </c:pt>
                <c:pt idx="26">
                  <c:v>35947</c:v>
                </c:pt>
                <c:pt idx="27">
                  <c:v>36039</c:v>
                </c:pt>
                <c:pt idx="28">
                  <c:v>36130</c:v>
                </c:pt>
                <c:pt idx="29">
                  <c:v>36220</c:v>
                </c:pt>
                <c:pt idx="30">
                  <c:v>36312</c:v>
                </c:pt>
                <c:pt idx="31">
                  <c:v>36404</c:v>
                </c:pt>
                <c:pt idx="32">
                  <c:v>36495</c:v>
                </c:pt>
                <c:pt idx="33">
                  <c:v>36586</c:v>
                </c:pt>
                <c:pt idx="34">
                  <c:v>36678</c:v>
                </c:pt>
                <c:pt idx="35">
                  <c:v>36770</c:v>
                </c:pt>
                <c:pt idx="36">
                  <c:v>36861</c:v>
                </c:pt>
                <c:pt idx="37">
                  <c:v>36951</c:v>
                </c:pt>
                <c:pt idx="38">
                  <c:v>37043</c:v>
                </c:pt>
                <c:pt idx="39">
                  <c:v>37135</c:v>
                </c:pt>
                <c:pt idx="40">
                  <c:v>37226</c:v>
                </c:pt>
                <c:pt idx="41">
                  <c:v>37316</c:v>
                </c:pt>
                <c:pt idx="42">
                  <c:v>37408</c:v>
                </c:pt>
                <c:pt idx="43">
                  <c:v>37500</c:v>
                </c:pt>
                <c:pt idx="44">
                  <c:v>37591</c:v>
                </c:pt>
                <c:pt idx="45">
                  <c:v>37681</c:v>
                </c:pt>
                <c:pt idx="46">
                  <c:v>37773</c:v>
                </c:pt>
                <c:pt idx="47">
                  <c:v>37865</c:v>
                </c:pt>
                <c:pt idx="48">
                  <c:v>37956</c:v>
                </c:pt>
                <c:pt idx="49">
                  <c:v>38047</c:v>
                </c:pt>
                <c:pt idx="50">
                  <c:v>38139</c:v>
                </c:pt>
                <c:pt idx="51">
                  <c:v>38231</c:v>
                </c:pt>
                <c:pt idx="52">
                  <c:v>38322</c:v>
                </c:pt>
                <c:pt idx="53">
                  <c:v>38412</c:v>
                </c:pt>
                <c:pt idx="54">
                  <c:v>38504</c:v>
                </c:pt>
                <c:pt idx="55">
                  <c:v>38596</c:v>
                </c:pt>
                <c:pt idx="56">
                  <c:v>38687</c:v>
                </c:pt>
                <c:pt idx="57">
                  <c:v>38777</c:v>
                </c:pt>
                <c:pt idx="58">
                  <c:v>38869</c:v>
                </c:pt>
                <c:pt idx="59">
                  <c:v>38961</c:v>
                </c:pt>
                <c:pt idx="60">
                  <c:v>39052</c:v>
                </c:pt>
                <c:pt idx="61">
                  <c:v>39142</c:v>
                </c:pt>
                <c:pt idx="62">
                  <c:v>39234</c:v>
                </c:pt>
                <c:pt idx="63">
                  <c:v>39326</c:v>
                </c:pt>
                <c:pt idx="64">
                  <c:v>39417</c:v>
                </c:pt>
                <c:pt idx="65">
                  <c:v>39508</c:v>
                </c:pt>
                <c:pt idx="66">
                  <c:v>39600</c:v>
                </c:pt>
                <c:pt idx="67">
                  <c:v>39692</c:v>
                </c:pt>
                <c:pt idx="68">
                  <c:v>39783</c:v>
                </c:pt>
                <c:pt idx="69">
                  <c:v>39873</c:v>
                </c:pt>
                <c:pt idx="70">
                  <c:v>39965</c:v>
                </c:pt>
                <c:pt idx="71">
                  <c:v>40057</c:v>
                </c:pt>
                <c:pt idx="72">
                  <c:v>40148</c:v>
                </c:pt>
                <c:pt idx="73">
                  <c:v>40238</c:v>
                </c:pt>
                <c:pt idx="74">
                  <c:v>40330</c:v>
                </c:pt>
                <c:pt idx="75">
                  <c:v>40422</c:v>
                </c:pt>
                <c:pt idx="76">
                  <c:v>40513</c:v>
                </c:pt>
                <c:pt idx="77">
                  <c:v>40603</c:v>
                </c:pt>
                <c:pt idx="78">
                  <c:v>40695</c:v>
                </c:pt>
                <c:pt idx="79">
                  <c:v>40787</c:v>
                </c:pt>
                <c:pt idx="80">
                  <c:v>40878</c:v>
                </c:pt>
                <c:pt idx="81">
                  <c:v>40969</c:v>
                </c:pt>
                <c:pt idx="82">
                  <c:v>41061</c:v>
                </c:pt>
                <c:pt idx="83">
                  <c:v>41153</c:v>
                </c:pt>
                <c:pt idx="84">
                  <c:v>41244</c:v>
                </c:pt>
                <c:pt idx="85">
                  <c:v>41334</c:v>
                </c:pt>
                <c:pt idx="86">
                  <c:v>41426</c:v>
                </c:pt>
                <c:pt idx="87">
                  <c:v>41518</c:v>
                </c:pt>
                <c:pt idx="88">
                  <c:v>41609</c:v>
                </c:pt>
                <c:pt idx="89">
                  <c:v>41699</c:v>
                </c:pt>
                <c:pt idx="90">
                  <c:v>41791</c:v>
                </c:pt>
                <c:pt idx="91">
                  <c:v>41883</c:v>
                </c:pt>
                <c:pt idx="92">
                  <c:v>41974</c:v>
                </c:pt>
                <c:pt idx="93">
                  <c:v>42064</c:v>
                </c:pt>
                <c:pt idx="94">
                  <c:v>42156</c:v>
                </c:pt>
                <c:pt idx="95">
                  <c:v>42248</c:v>
                </c:pt>
                <c:pt idx="96">
                  <c:v>42339</c:v>
                </c:pt>
                <c:pt idx="97">
                  <c:v>42430</c:v>
                </c:pt>
                <c:pt idx="98">
                  <c:v>42522</c:v>
                </c:pt>
                <c:pt idx="99">
                  <c:v>42614</c:v>
                </c:pt>
                <c:pt idx="100">
                  <c:v>42705</c:v>
                </c:pt>
                <c:pt idx="101">
                  <c:v>42795</c:v>
                </c:pt>
              </c:numCache>
            </c:numRef>
          </c:cat>
          <c:val>
            <c:numRef>
              <c:f>'Figure 3'!$D$4:$D$105</c:f>
              <c:numCache>
                <c:formatCode>0.00</c:formatCode>
                <c:ptCount val="102"/>
                <c:pt idx="0">
                  <c:v>431.48479427549199</c:v>
                </c:pt>
                <c:pt idx="1">
                  <c:v>481.95985401459853</c:v>
                </c:pt>
                <c:pt idx="2">
                  <c:v>491.33333333333337</c:v>
                </c:pt>
                <c:pt idx="3">
                  <c:v>475.15947467166978</c:v>
                </c:pt>
                <c:pt idx="4">
                  <c:v>530.18490566037724</c:v>
                </c:pt>
                <c:pt idx="5">
                  <c:v>520.41275797373351</c:v>
                </c:pt>
                <c:pt idx="6">
                  <c:v>527.76536312849157</c:v>
                </c:pt>
                <c:pt idx="7">
                  <c:v>521.02793296089385</c:v>
                </c:pt>
                <c:pt idx="8">
                  <c:v>543.61363636363637</c:v>
                </c:pt>
                <c:pt idx="9">
                  <c:v>542.58601134215496</c:v>
                </c:pt>
                <c:pt idx="10">
                  <c:v>563.55140186915889</c:v>
                </c:pt>
                <c:pt idx="11">
                  <c:v>598.5333333333333</c:v>
                </c:pt>
                <c:pt idx="12">
                  <c:v>584.46292947558777</c:v>
                </c:pt>
                <c:pt idx="13">
                  <c:v>544.04459691252146</c:v>
                </c:pt>
                <c:pt idx="14">
                  <c:v>547.26050420168065</c:v>
                </c:pt>
                <c:pt idx="15">
                  <c:v>532.65</c:v>
                </c:pt>
                <c:pt idx="16">
                  <c:v>506.3206611570248</c:v>
                </c:pt>
                <c:pt idx="17">
                  <c:v>510.07868852459012</c:v>
                </c:pt>
                <c:pt idx="18">
                  <c:v>504.79153094462538</c:v>
                </c:pt>
                <c:pt idx="19">
                  <c:v>518.81493506493507</c:v>
                </c:pt>
                <c:pt idx="20">
                  <c:v>541.79700499168052</c:v>
                </c:pt>
                <c:pt idx="21">
                  <c:v>586.53583617747438</c:v>
                </c:pt>
                <c:pt idx="22">
                  <c:v>636.97183098591552</c:v>
                </c:pt>
                <c:pt idx="23">
                  <c:v>681.83745583038876</c:v>
                </c:pt>
                <c:pt idx="24">
                  <c:v>705.4776386404294</c:v>
                </c:pt>
                <c:pt idx="25">
                  <c:v>727.90714285714284</c:v>
                </c:pt>
                <c:pt idx="26">
                  <c:v>726.58303886925796</c:v>
                </c:pt>
                <c:pt idx="27">
                  <c:v>714.7447552447552</c:v>
                </c:pt>
                <c:pt idx="28">
                  <c:v>736.64921465968587</c:v>
                </c:pt>
                <c:pt idx="29">
                  <c:v>748.55172413793093</c:v>
                </c:pt>
                <c:pt idx="30">
                  <c:v>777.061855670103</c:v>
                </c:pt>
                <c:pt idx="31">
                  <c:v>775.4314720812182</c:v>
                </c:pt>
                <c:pt idx="32">
                  <c:v>775.14190317195323</c:v>
                </c:pt>
                <c:pt idx="33">
                  <c:v>776.13861386138603</c:v>
                </c:pt>
                <c:pt idx="34">
                  <c:v>817.79411764705878</c:v>
                </c:pt>
                <c:pt idx="35">
                  <c:v>726.95517774343114</c:v>
                </c:pt>
                <c:pt idx="36">
                  <c:v>757.47222222222229</c:v>
                </c:pt>
                <c:pt idx="37">
                  <c:v>760.70769230769224</c:v>
                </c:pt>
                <c:pt idx="38">
                  <c:v>839.03669724770634</c:v>
                </c:pt>
                <c:pt idx="39">
                  <c:v>880.74545454545444</c:v>
                </c:pt>
                <c:pt idx="40">
                  <c:v>908.13253012048176</c:v>
                </c:pt>
                <c:pt idx="41">
                  <c:v>940.20989505247371</c:v>
                </c:pt>
                <c:pt idx="42">
                  <c:v>1044.4821428571427</c:v>
                </c:pt>
                <c:pt idx="43">
                  <c:v>1065.684830633284</c:v>
                </c:pt>
                <c:pt idx="44">
                  <c:v>1080.2643171806167</c:v>
                </c:pt>
                <c:pt idx="45">
                  <c:v>1086.1052631578946</c:v>
                </c:pt>
                <c:pt idx="46">
                  <c:v>1102.7285921625542</c:v>
                </c:pt>
                <c:pt idx="47">
                  <c:v>1181.8454935622317</c:v>
                </c:pt>
                <c:pt idx="48">
                  <c:v>1169.8716119828816</c:v>
                </c:pt>
                <c:pt idx="49">
                  <c:v>1137.5744680851064</c:v>
                </c:pt>
                <c:pt idx="50">
                  <c:v>1085.5696202531647</c:v>
                </c:pt>
                <c:pt idx="51">
                  <c:v>1050.8713692946058</c:v>
                </c:pt>
                <c:pt idx="52">
                  <c:v>1043.6538461538462</c:v>
                </c:pt>
                <c:pt idx="53">
                  <c:v>1046.188524590164</c:v>
                </c:pt>
                <c:pt idx="54">
                  <c:v>1029.2727272727273</c:v>
                </c:pt>
                <c:pt idx="55">
                  <c:v>981.28954423592495</c:v>
                </c:pt>
                <c:pt idx="56">
                  <c:v>996.95999999999992</c:v>
                </c:pt>
                <c:pt idx="57">
                  <c:v>986.28989361702122</c:v>
                </c:pt>
                <c:pt idx="58">
                  <c:v>1048.0714285714287</c:v>
                </c:pt>
                <c:pt idx="59">
                  <c:v>1001.3263707571801</c:v>
                </c:pt>
                <c:pt idx="60">
                  <c:v>1036.40625</c:v>
                </c:pt>
                <c:pt idx="61">
                  <c:v>1023.2253886010361</c:v>
                </c:pt>
                <c:pt idx="62">
                  <c:v>1052.7342747111679</c:v>
                </c:pt>
                <c:pt idx="63">
                  <c:v>1055.6297229219142</c:v>
                </c:pt>
                <c:pt idx="64">
                  <c:v>1108.0124999999998</c:v>
                </c:pt>
                <c:pt idx="65">
                  <c:v>1082.7266009852217</c:v>
                </c:pt>
                <c:pt idx="66">
                  <c:v>1068.4223300970873</c:v>
                </c:pt>
                <c:pt idx="67">
                  <c:v>1028.8151658767772</c:v>
                </c:pt>
                <c:pt idx="68">
                  <c:v>989.68347010550997</c:v>
                </c:pt>
                <c:pt idx="69">
                  <c:v>1003.8300349243304</c:v>
                </c:pt>
                <c:pt idx="70">
                  <c:v>1042.2393555811277</c:v>
                </c:pt>
                <c:pt idx="71">
                  <c:v>997.42350332594231</c:v>
                </c:pt>
                <c:pt idx="72">
                  <c:v>1082.4779735682819</c:v>
                </c:pt>
                <c:pt idx="73">
                  <c:v>1116.4716157205241</c:v>
                </c:pt>
                <c:pt idx="74">
                  <c:v>1170.6449511400651</c:v>
                </c:pt>
                <c:pt idx="75">
                  <c:v>1139.4267515923566</c:v>
                </c:pt>
                <c:pt idx="76">
                  <c:v>1120.9452631578947</c:v>
                </c:pt>
                <c:pt idx="77">
                  <c:v>1079.1187499999999</c:v>
                </c:pt>
                <c:pt idx="78">
                  <c:v>1105.0847107438017</c:v>
                </c:pt>
                <c:pt idx="79">
                  <c:v>1069.7013118062564</c:v>
                </c:pt>
                <c:pt idx="80">
                  <c:v>1048.9058116232466</c:v>
                </c:pt>
                <c:pt idx="81">
                  <c:v>1060.2197802197802</c:v>
                </c:pt>
                <c:pt idx="82">
                  <c:v>1050.7722772277227</c:v>
                </c:pt>
                <c:pt idx="83">
                  <c:v>1011.744966442953</c:v>
                </c:pt>
                <c:pt idx="84">
                  <c:v>1032.7307326355851</c:v>
                </c:pt>
                <c:pt idx="85">
                  <c:v>1036.3172804532578</c:v>
                </c:pt>
                <c:pt idx="86">
                  <c:v>1041.9568480300186</c:v>
                </c:pt>
                <c:pt idx="87">
                  <c:v>1098.1824884792627</c:v>
                </c:pt>
                <c:pt idx="88">
                  <c:v>1215.9395604395602</c:v>
                </c:pt>
                <c:pt idx="89">
                  <c:v>1264.2661804922516</c:v>
                </c:pt>
                <c:pt idx="90">
                  <c:v>1351.8519855595666</c:v>
                </c:pt>
                <c:pt idx="91">
                  <c:v>1403.5810205908683</c:v>
                </c:pt>
                <c:pt idx="92">
                  <c:v>1397.7175843694492</c:v>
                </c:pt>
                <c:pt idx="93">
                  <c:v>1486.267605633803</c:v>
                </c:pt>
                <c:pt idx="94">
                  <c:v>1601.7023498694516</c:v>
                </c:pt>
                <c:pt idx="95">
                  <c:v>1651.3084274543874</c:v>
                </c:pt>
                <c:pt idx="96">
                  <c:v>1567.5909878682839</c:v>
                </c:pt>
                <c:pt idx="97">
                  <c:v>1584.7610008628126</c:v>
                </c:pt>
                <c:pt idx="98">
                  <c:v>1589.3984575835475</c:v>
                </c:pt>
                <c:pt idx="99">
                  <c:v>1578.8006756756754</c:v>
                </c:pt>
                <c:pt idx="100">
                  <c:v>1686.3731092436974</c:v>
                </c:pt>
                <c:pt idx="101">
                  <c:v>1796.9198664440735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1-2B48-A1E0-165C1855F27A}"/>
            </c:ext>
          </c:extLst>
        </c:ser>
        <c:ser>
          <c:idx val="2"/>
          <c:order val="2"/>
          <c:tx>
            <c:strRef>
              <c:f>'Figure 3'!$E$3</c:f>
              <c:strCache>
                <c:ptCount val="1"/>
                <c:pt idx="0">
                  <c:v>Strata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 3'!$B$4:$B$105</c:f>
              <c:numCache>
                <c:formatCode>mmm\-yy</c:formatCode>
                <c:ptCount val="102"/>
                <c:pt idx="0">
                  <c:v>33573</c:v>
                </c:pt>
                <c:pt idx="1">
                  <c:v>33664</c:v>
                </c:pt>
                <c:pt idx="2">
                  <c:v>33756</c:v>
                </c:pt>
                <c:pt idx="3">
                  <c:v>33848</c:v>
                </c:pt>
                <c:pt idx="4">
                  <c:v>33939</c:v>
                </c:pt>
                <c:pt idx="5">
                  <c:v>34029</c:v>
                </c:pt>
                <c:pt idx="6">
                  <c:v>34121</c:v>
                </c:pt>
                <c:pt idx="7">
                  <c:v>34213</c:v>
                </c:pt>
                <c:pt idx="8">
                  <c:v>34304</c:v>
                </c:pt>
                <c:pt idx="9">
                  <c:v>34394</c:v>
                </c:pt>
                <c:pt idx="10">
                  <c:v>34486</c:v>
                </c:pt>
                <c:pt idx="11">
                  <c:v>34578</c:v>
                </c:pt>
                <c:pt idx="12">
                  <c:v>34669</c:v>
                </c:pt>
                <c:pt idx="13">
                  <c:v>34759</c:v>
                </c:pt>
                <c:pt idx="14">
                  <c:v>34851</c:v>
                </c:pt>
                <c:pt idx="15">
                  <c:v>34943</c:v>
                </c:pt>
                <c:pt idx="16">
                  <c:v>35034</c:v>
                </c:pt>
                <c:pt idx="17">
                  <c:v>35125</c:v>
                </c:pt>
                <c:pt idx="18">
                  <c:v>35217</c:v>
                </c:pt>
                <c:pt idx="19">
                  <c:v>35309</c:v>
                </c:pt>
                <c:pt idx="20">
                  <c:v>35400</c:v>
                </c:pt>
                <c:pt idx="21">
                  <c:v>35490</c:v>
                </c:pt>
                <c:pt idx="22">
                  <c:v>35582</c:v>
                </c:pt>
                <c:pt idx="23">
                  <c:v>35674</c:v>
                </c:pt>
                <c:pt idx="24">
                  <c:v>35765</c:v>
                </c:pt>
                <c:pt idx="25">
                  <c:v>35855</c:v>
                </c:pt>
                <c:pt idx="26">
                  <c:v>35947</c:v>
                </c:pt>
                <c:pt idx="27">
                  <c:v>36039</c:v>
                </c:pt>
                <c:pt idx="28">
                  <c:v>36130</c:v>
                </c:pt>
                <c:pt idx="29">
                  <c:v>36220</c:v>
                </c:pt>
                <c:pt idx="30">
                  <c:v>36312</c:v>
                </c:pt>
                <c:pt idx="31">
                  <c:v>36404</c:v>
                </c:pt>
                <c:pt idx="32">
                  <c:v>36495</c:v>
                </c:pt>
                <c:pt idx="33">
                  <c:v>36586</c:v>
                </c:pt>
                <c:pt idx="34">
                  <c:v>36678</c:v>
                </c:pt>
                <c:pt idx="35">
                  <c:v>36770</c:v>
                </c:pt>
                <c:pt idx="36">
                  <c:v>36861</c:v>
                </c:pt>
                <c:pt idx="37">
                  <c:v>36951</c:v>
                </c:pt>
                <c:pt idx="38">
                  <c:v>37043</c:v>
                </c:pt>
                <c:pt idx="39">
                  <c:v>37135</c:v>
                </c:pt>
                <c:pt idx="40">
                  <c:v>37226</c:v>
                </c:pt>
                <c:pt idx="41">
                  <c:v>37316</c:v>
                </c:pt>
                <c:pt idx="42">
                  <c:v>37408</c:v>
                </c:pt>
                <c:pt idx="43">
                  <c:v>37500</c:v>
                </c:pt>
                <c:pt idx="44">
                  <c:v>37591</c:v>
                </c:pt>
                <c:pt idx="45">
                  <c:v>37681</c:v>
                </c:pt>
                <c:pt idx="46">
                  <c:v>37773</c:v>
                </c:pt>
                <c:pt idx="47">
                  <c:v>37865</c:v>
                </c:pt>
                <c:pt idx="48">
                  <c:v>37956</c:v>
                </c:pt>
                <c:pt idx="49">
                  <c:v>38047</c:v>
                </c:pt>
                <c:pt idx="50">
                  <c:v>38139</c:v>
                </c:pt>
                <c:pt idx="51">
                  <c:v>38231</c:v>
                </c:pt>
                <c:pt idx="52">
                  <c:v>38322</c:v>
                </c:pt>
                <c:pt idx="53">
                  <c:v>38412</c:v>
                </c:pt>
                <c:pt idx="54">
                  <c:v>38504</c:v>
                </c:pt>
                <c:pt idx="55">
                  <c:v>38596</c:v>
                </c:pt>
                <c:pt idx="56">
                  <c:v>38687</c:v>
                </c:pt>
                <c:pt idx="57">
                  <c:v>38777</c:v>
                </c:pt>
                <c:pt idx="58">
                  <c:v>38869</c:v>
                </c:pt>
                <c:pt idx="59">
                  <c:v>38961</c:v>
                </c:pt>
                <c:pt idx="60">
                  <c:v>39052</c:v>
                </c:pt>
                <c:pt idx="61">
                  <c:v>39142</c:v>
                </c:pt>
                <c:pt idx="62">
                  <c:v>39234</c:v>
                </c:pt>
                <c:pt idx="63">
                  <c:v>39326</c:v>
                </c:pt>
                <c:pt idx="64">
                  <c:v>39417</c:v>
                </c:pt>
                <c:pt idx="65">
                  <c:v>39508</c:v>
                </c:pt>
                <c:pt idx="66">
                  <c:v>39600</c:v>
                </c:pt>
                <c:pt idx="67">
                  <c:v>39692</c:v>
                </c:pt>
                <c:pt idx="68">
                  <c:v>39783</c:v>
                </c:pt>
                <c:pt idx="69">
                  <c:v>39873</c:v>
                </c:pt>
                <c:pt idx="70">
                  <c:v>39965</c:v>
                </c:pt>
                <c:pt idx="71">
                  <c:v>40057</c:v>
                </c:pt>
                <c:pt idx="72">
                  <c:v>40148</c:v>
                </c:pt>
                <c:pt idx="73">
                  <c:v>40238</c:v>
                </c:pt>
                <c:pt idx="74">
                  <c:v>40330</c:v>
                </c:pt>
                <c:pt idx="75">
                  <c:v>40422</c:v>
                </c:pt>
                <c:pt idx="76">
                  <c:v>40513</c:v>
                </c:pt>
                <c:pt idx="77">
                  <c:v>40603</c:v>
                </c:pt>
                <c:pt idx="78">
                  <c:v>40695</c:v>
                </c:pt>
                <c:pt idx="79">
                  <c:v>40787</c:v>
                </c:pt>
                <c:pt idx="80">
                  <c:v>40878</c:v>
                </c:pt>
                <c:pt idx="81">
                  <c:v>40969</c:v>
                </c:pt>
                <c:pt idx="82">
                  <c:v>41061</c:v>
                </c:pt>
                <c:pt idx="83">
                  <c:v>41153</c:v>
                </c:pt>
                <c:pt idx="84">
                  <c:v>41244</c:v>
                </c:pt>
                <c:pt idx="85">
                  <c:v>41334</c:v>
                </c:pt>
                <c:pt idx="86">
                  <c:v>41426</c:v>
                </c:pt>
                <c:pt idx="87">
                  <c:v>41518</c:v>
                </c:pt>
                <c:pt idx="88">
                  <c:v>41609</c:v>
                </c:pt>
                <c:pt idx="89">
                  <c:v>41699</c:v>
                </c:pt>
                <c:pt idx="90">
                  <c:v>41791</c:v>
                </c:pt>
                <c:pt idx="91">
                  <c:v>41883</c:v>
                </c:pt>
                <c:pt idx="92">
                  <c:v>41974</c:v>
                </c:pt>
                <c:pt idx="93">
                  <c:v>42064</c:v>
                </c:pt>
                <c:pt idx="94">
                  <c:v>42156</c:v>
                </c:pt>
                <c:pt idx="95">
                  <c:v>42248</c:v>
                </c:pt>
                <c:pt idx="96">
                  <c:v>42339</c:v>
                </c:pt>
                <c:pt idx="97">
                  <c:v>42430</c:v>
                </c:pt>
                <c:pt idx="98">
                  <c:v>42522</c:v>
                </c:pt>
                <c:pt idx="99">
                  <c:v>42614</c:v>
                </c:pt>
                <c:pt idx="100">
                  <c:v>42705</c:v>
                </c:pt>
                <c:pt idx="101">
                  <c:v>42795</c:v>
                </c:pt>
              </c:numCache>
            </c:numRef>
          </c:cat>
          <c:val>
            <c:numRef>
              <c:f>'Figure 3'!$E$4:$E$105</c:f>
              <c:numCache>
                <c:formatCode>0.00</c:formatCode>
                <c:ptCount val="102"/>
                <c:pt idx="0">
                  <c:v>330.08586762075134</c:v>
                </c:pt>
                <c:pt idx="1">
                  <c:v>330.1094890510949</c:v>
                </c:pt>
                <c:pt idx="2">
                  <c:v>343.93333333333334</c:v>
                </c:pt>
                <c:pt idx="3">
                  <c:v>359.76360225140712</c:v>
                </c:pt>
                <c:pt idx="4">
                  <c:v>364.07547169811318</c:v>
                </c:pt>
                <c:pt idx="5">
                  <c:v>371.07692307692304</c:v>
                </c:pt>
                <c:pt idx="6">
                  <c:v>334.62569832402232</c:v>
                </c:pt>
                <c:pt idx="7">
                  <c:v>343.60893854748605</c:v>
                </c:pt>
                <c:pt idx="8">
                  <c:v>349.46590909090912</c:v>
                </c:pt>
                <c:pt idx="9">
                  <c:v>348.8052930056711</c:v>
                </c:pt>
                <c:pt idx="10">
                  <c:v>353.91028037383177</c:v>
                </c:pt>
                <c:pt idx="11">
                  <c:v>366.26666666666665</c:v>
                </c:pt>
                <c:pt idx="12">
                  <c:v>346.75226039783001</c:v>
                </c:pt>
                <c:pt idx="13">
                  <c:v>337.1835334476844</c:v>
                </c:pt>
                <c:pt idx="14">
                  <c:v>324.30252100840335</c:v>
                </c:pt>
                <c:pt idx="15">
                  <c:v>329.64</c:v>
                </c:pt>
                <c:pt idx="16">
                  <c:v>310.96859504132232</c:v>
                </c:pt>
                <c:pt idx="17">
                  <c:v>320.28196721311474</c:v>
                </c:pt>
                <c:pt idx="18">
                  <c:v>314.26710097719871</c:v>
                </c:pt>
                <c:pt idx="19">
                  <c:v>332.8246753246753</c:v>
                </c:pt>
                <c:pt idx="20">
                  <c:v>341.13144758735439</c:v>
                </c:pt>
                <c:pt idx="21">
                  <c:v>360.15358361774742</c:v>
                </c:pt>
                <c:pt idx="22">
                  <c:v>416.15492957746483</c:v>
                </c:pt>
                <c:pt idx="23">
                  <c:v>441.0636042402827</c:v>
                </c:pt>
                <c:pt idx="24">
                  <c:v>461.68872987477641</c:v>
                </c:pt>
                <c:pt idx="25">
                  <c:v>415.63928571428568</c:v>
                </c:pt>
                <c:pt idx="26">
                  <c:v>460.2402826855124</c:v>
                </c:pt>
                <c:pt idx="27">
                  <c:v>421.67832167832165</c:v>
                </c:pt>
                <c:pt idx="28">
                  <c:v>473.56020942408372</c:v>
                </c:pt>
                <c:pt idx="29">
                  <c:v>467.84482758620686</c:v>
                </c:pt>
                <c:pt idx="30">
                  <c:v>470.38144329896903</c:v>
                </c:pt>
                <c:pt idx="31">
                  <c:v>450.97461928934001</c:v>
                </c:pt>
                <c:pt idx="32">
                  <c:v>463.0717863105175</c:v>
                </c:pt>
                <c:pt idx="33">
                  <c:v>493.54455445544551</c:v>
                </c:pt>
                <c:pt idx="34">
                  <c:v>482.79411764705878</c:v>
                </c:pt>
                <c:pt idx="35">
                  <c:v>447.35703245749608</c:v>
                </c:pt>
                <c:pt idx="36">
                  <c:v>474.58333333333337</c:v>
                </c:pt>
                <c:pt idx="37">
                  <c:v>484.25538461538457</c:v>
                </c:pt>
                <c:pt idx="38">
                  <c:v>551.36697247706422</c:v>
                </c:pt>
                <c:pt idx="39">
                  <c:v>539.0454545454545</c:v>
                </c:pt>
                <c:pt idx="40">
                  <c:v>572.12349397590356</c:v>
                </c:pt>
                <c:pt idx="41">
                  <c:v>560.50974512743619</c:v>
                </c:pt>
                <c:pt idx="42">
                  <c:v>638.89285714285711</c:v>
                </c:pt>
                <c:pt idx="43">
                  <c:v>692.69513991163467</c:v>
                </c:pt>
                <c:pt idx="44">
                  <c:v>641.07488986784142</c:v>
                </c:pt>
                <c:pt idx="45">
                  <c:v>617.10526315789468</c:v>
                </c:pt>
                <c:pt idx="46">
                  <c:v>603.87518142235115</c:v>
                </c:pt>
                <c:pt idx="47">
                  <c:v>646.99570815450636</c:v>
                </c:pt>
                <c:pt idx="48">
                  <c:v>669.23537803138379</c:v>
                </c:pt>
                <c:pt idx="49">
                  <c:v>615.82978723404256</c:v>
                </c:pt>
                <c:pt idx="50">
                  <c:v>593.6708860759494</c:v>
                </c:pt>
                <c:pt idx="51">
                  <c:v>575.47717842323652</c:v>
                </c:pt>
                <c:pt idx="52">
                  <c:v>579.80769230769226</c:v>
                </c:pt>
                <c:pt idx="53">
                  <c:v>609.59016393442619</c:v>
                </c:pt>
                <c:pt idx="54">
                  <c:v>572.72727272727263</c:v>
                </c:pt>
                <c:pt idx="55">
                  <c:v>598.15013404825731</c:v>
                </c:pt>
                <c:pt idx="56">
                  <c:v>603</c:v>
                </c:pt>
                <c:pt idx="57">
                  <c:v>633.470744680851</c:v>
                </c:pt>
                <c:pt idx="58">
                  <c:v>615.76190476190482</c:v>
                </c:pt>
                <c:pt idx="59">
                  <c:v>533.72584856396861</c:v>
                </c:pt>
                <c:pt idx="60">
                  <c:v>588.8671875</c:v>
                </c:pt>
                <c:pt idx="61">
                  <c:v>546.76165803108802</c:v>
                </c:pt>
                <c:pt idx="62">
                  <c:v>619.25545571245175</c:v>
                </c:pt>
                <c:pt idx="63">
                  <c:v>607.5566750629722</c:v>
                </c:pt>
                <c:pt idx="64">
                  <c:v>602.99999999999989</c:v>
                </c:pt>
                <c:pt idx="65">
                  <c:v>577.75123152709352</c:v>
                </c:pt>
                <c:pt idx="66">
                  <c:v>592.754854368932</c:v>
                </c:pt>
                <c:pt idx="67">
                  <c:v>557.27488151658758</c:v>
                </c:pt>
                <c:pt idx="68">
                  <c:v>537.25674091441965</c:v>
                </c:pt>
                <c:pt idx="69">
                  <c:v>589.662398137369</c:v>
                </c:pt>
                <c:pt idx="70">
                  <c:v>596.75489067894125</c:v>
                </c:pt>
                <c:pt idx="71">
                  <c:v>562.8891352549889</c:v>
                </c:pt>
                <c:pt idx="72">
                  <c:v>584.40528634361237</c:v>
                </c:pt>
                <c:pt idx="73">
                  <c:v>638.54803493449788</c:v>
                </c:pt>
                <c:pt idx="74">
                  <c:v>648.17589576547232</c:v>
                </c:pt>
                <c:pt idx="75">
                  <c:v>585.07643312101914</c:v>
                </c:pt>
                <c:pt idx="76">
                  <c:v>609.34736842105258</c:v>
                </c:pt>
                <c:pt idx="77">
                  <c:v>561.54374999999993</c:v>
                </c:pt>
                <c:pt idx="78">
                  <c:v>591.78719008264454</c:v>
                </c:pt>
                <c:pt idx="79">
                  <c:v>638.90010090817361</c:v>
                </c:pt>
                <c:pt idx="80">
                  <c:v>610.25050100200406</c:v>
                </c:pt>
                <c:pt idx="81">
                  <c:v>650.58941058941059</c:v>
                </c:pt>
                <c:pt idx="82">
                  <c:v>666.28514851485147</c:v>
                </c:pt>
                <c:pt idx="83">
                  <c:v>601.26558005752634</c:v>
                </c:pt>
                <c:pt idx="84">
                  <c:v>625.37583254043773</c:v>
                </c:pt>
                <c:pt idx="85">
                  <c:v>620.65155807365431</c:v>
                </c:pt>
                <c:pt idx="86">
                  <c:v>667.48592870544087</c:v>
                </c:pt>
                <c:pt idx="87">
                  <c:v>663.57788018433178</c:v>
                </c:pt>
                <c:pt idx="88">
                  <c:v>706.81318681318669</c:v>
                </c:pt>
                <c:pt idx="89">
                  <c:v>714.58523245214212</c:v>
                </c:pt>
                <c:pt idx="90">
                  <c:v>707.49097472924188</c:v>
                </c:pt>
                <c:pt idx="91">
                  <c:v>687.7547000895255</c:v>
                </c:pt>
                <c:pt idx="92">
                  <c:v>696.18117229129655</c:v>
                </c:pt>
                <c:pt idx="93">
                  <c:v>700.66901408450713</c:v>
                </c:pt>
                <c:pt idx="94">
                  <c:v>765.16449086161879</c:v>
                </c:pt>
                <c:pt idx="95">
                  <c:v>756.50043440486525</c:v>
                </c:pt>
                <c:pt idx="96">
                  <c:v>680.3344887348353</c:v>
                </c:pt>
                <c:pt idx="97">
                  <c:v>689.88610871440892</c:v>
                </c:pt>
                <c:pt idx="98">
                  <c:v>769.89717223650382</c:v>
                </c:pt>
                <c:pt idx="99">
                  <c:v>744.5827702702702</c:v>
                </c:pt>
                <c:pt idx="100">
                  <c:v>729.68067226890753</c:v>
                </c:pt>
                <c:pt idx="101">
                  <c:v>728.83472454090145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31-2B48-A1E0-165C1855F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639280"/>
        <c:axId val="1875140208"/>
      </c:lineChart>
      <c:dateAx>
        <c:axId val="1875639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40208"/>
        <c:crosses val="autoZero"/>
        <c:auto val="1"/>
        <c:lblOffset val="100"/>
        <c:baseTimeUnit val="months"/>
        <c:majorUnit val="12"/>
        <c:majorTimeUnit val="months"/>
      </c:dateAx>
      <c:valAx>
        <c:axId val="187514020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House</a:t>
                </a:r>
                <a:r>
                  <a:rPr lang="en-GB" baseline="0"/>
                  <a:t> Price($'000)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63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[Finalise.xlsx]Sheet19!PivotTable15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Sheet19!$B$3:$B$4</c:f>
              <c:strCache>
                <c:ptCount val="1"/>
                <c:pt idx="0">
                  <c:v>Greater Sydney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Sheet19!$A$5:$A$8</c:f>
              <c:strCache>
                <c:ptCount val="3"/>
                <c:pt idx="0">
                  <c:v>All Dwelling</c:v>
                </c:pt>
                <c:pt idx="1">
                  <c:v>Non Strata</c:v>
                </c:pt>
                <c:pt idx="2">
                  <c:v>Strata</c:v>
                </c:pt>
              </c:strCache>
            </c:strRef>
          </c:cat>
          <c:val>
            <c:numRef>
              <c:f>Sheet19!$B$5:$B$8</c:f>
              <c:numCache>
                <c:formatCode>General</c:formatCode>
                <c:ptCount val="3"/>
                <c:pt idx="0">
                  <c:v>960</c:v>
                </c:pt>
                <c:pt idx="1">
                  <c:v>1260</c:v>
                </c:pt>
                <c:pt idx="2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C-6B4B-84D2-C5EBE39E0CE4}"/>
            </c:ext>
          </c:extLst>
        </c:ser>
        <c:ser>
          <c:idx val="1"/>
          <c:order val="1"/>
          <c:tx>
            <c:strRef>
              <c:f>Sheet19!$C$3:$C$4</c:f>
              <c:strCache>
                <c:ptCount val="1"/>
                <c:pt idx="0">
                  <c:v>Ryde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Sheet19!$A$5:$A$8</c:f>
              <c:strCache>
                <c:ptCount val="3"/>
                <c:pt idx="0">
                  <c:v>All Dwelling</c:v>
                </c:pt>
                <c:pt idx="1">
                  <c:v>Non Strata</c:v>
                </c:pt>
                <c:pt idx="2">
                  <c:v>Strata</c:v>
                </c:pt>
              </c:strCache>
            </c:strRef>
          </c:cat>
          <c:val>
            <c:numRef>
              <c:f>Sheet19!$C$5:$C$8</c:f>
              <c:numCache>
                <c:formatCode>General</c:formatCode>
                <c:ptCount val="3"/>
                <c:pt idx="0">
                  <c:v>1080</c:v>
                </c:pt>
                <c:pt idx="1">
                  <c:v>2161</c:v>
                </c:pt>
                <c:pt idx="2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C-6B4B-84D2-C5EBE39E0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5678960"/>
        <c:axId val="1527366608"/>
      </c:barChart>
      <c:catAx>
        <c:axId val="191567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366608"/>
        <c:crosses val="autoZero"/>
        <c:auto val="1"/>
        <c:lblAlgn val="ctr"/>
        <c:lblOffset val="100"/>
        <c:noMultiLvlLbl val="0"/>
      </c:catAx>
      <c:valAx>
        <c:axId val="152736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67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[Finalise.xlsx]Figure 4!PivotTable14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Change in Median (Figure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4'!$E$32:$E$33</c:f>
              <c:strCache>
                <c:ptCount val="1"/>
                <c:pt idx="0">
                  <c:v>Ryde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4'!$D$34:$D$37</c:f>
              <c:strCache>
                <c:ptCount val="3"/>
                <c:pt idx="0">
                  <c:v>All Dwelling</c:v>
                </c:pt>
                <c:pt idx="1">
                  <c:v>Non Strata</c:v>
                </c:pt>
                <c:pt idx="2">
                  <c:v>Strata</c:v>
                </c:pt>
              </c:strCache>
            </c:strRef>
          </c:cat>
          <c:val>
            <c:numRef>
              <c:f>'Figure 4'!$E$34:$E$37</c:f>
              <c:numCache>
                <c:formatCode>General</c:formatCode>
                <c:ptCount val="3"/>
                <c:pt idx="0">
                  <c:v>0.1416</c:v>
                </c:pt>
                <c:pt idx="1">
                  <c:v>0.26740000000000003</c:v>
                </c:pt>
                <c:pt idx="2">
                  <c:v>0.1169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7-7F4D-BFDA-303E5DFD9431}"/>
            </c:ext>
          </c:extLst>
        </c:ser>
        <c:ser>
          <c:idx val="1"/>
          <c:order val="1"/>
          <c:tx>
            <c:strRef>
              <c:f>'Figure 4'!$F$32:$F$33</c:f>
              <c:strCache>
                <c:ptCount val="1"/>
                <c:pt idx="0">
                  <c:v>Greater Sydney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4'!$D$34:$D$37</c:f>
              <c:strCache>
                <c:ptCount val="3"/>
                <c:pt idx="0">
                  <c:v>All Dwelling</c:v>
                </c:pt>
                <c:pt idx="1">
                  <c:v>Non Strata</c:v>
                </c:pt>
                <c:pt idx="2">
                  <c:v>Strata</c:v>
                </c:pt>
              </c:strCache>
            </c:strRef>
          </c:cat>
          <c:val>
            <c:numRef>
              <c:f>'Figure 4'!$F$34:$F$37</c:f>
              <c:numCache>
                <c:formatCode>General</c:formatCode>
                <c:ptCount val="3"/>
                <c:pt idx="0">
                  <c:v>0.10979999999999999</c:v>
                </c:pt>
                <c:pt idx="1">
                  <c:v>0.26</c:v>
                </c:pt>
                <c:pt idx="2">
                  <c:v>4.7E-2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7-7F4D-BFDA-303E5DFD9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9679360"/>
        <c:axId val="1638664592"/>
      </c:barChart>
      <c:catAx>
        <c:axId val="119967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Dwelling</a:t>
                </a:r>
                <a:r>
                  <a:rPr lang="en-GB" baseline="0"/>
                  <a:t> Type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64592"/>
        <c:crosses val="autoZero"/>
        <c:auto val="1"/>
        <c:lblAlgn val="ctr"/>
        <c:lblOffset val="100"/>
        <c:noMultiLvlLbl val="0"/>
      </c:catAx>
      <c:valAx>
        <c:axId val="16386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of annual change in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6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4'!$E$20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4'!$F$19:$H$19</c:f>
              <c:strCache>
                <c:ptCount val="3"/>
                <c:pt idx="0">
                  <c:v>Ryde</c:v>
                </c:pt>
                <c:pt idx="1">
                  <c:v>Greater Sydney</c:v>
                </c:pt>
                <c:pt idx="2">
                  <c:v>Middle Ring</c:v>
                </c:pt>
              </c:strCache>
            </c:strRef>
          </c:cat>
          <c:val>
            <c:numRef>
              <c:f>'Figure 4'!$F$20:$H$20</c:f>
              <c:numCache>
                <c:formatCode>_-"$"* #,##0.00_-;\-"$"* #,##0.00_-;_-"$"* "-"??_-;_-@_-</c:formatCode>
                <c:ptCount val="3"/>
                <c:pt idx="0">
                  <c:v>870</c:v>
                </c:pt>
                <c:pt idx="1">
                  <c:v>810</c:v>
                </c:pt>
                <c:pt idx="2">
                  <c:v>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D-8447-9B6F-C6C4D04CECAF}"/>
            </c:ext>
          </c:extLst>
        </c:ser>
        <c:ser>
          <c:idx val="1"/>
          <c:order val="1"/>
          <c:tx>
            <c:strRef>
              <c:f>'Figure 4'!$E$21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4'!$F$19:$H$19</c:f>
              <c:strCache>
                <c:ptCount val="3"/>
                <c:pt idx="0">
                  <c:v>Ryde</c:v>
                </c:pt>
                <c:pt idx="1">
                  <c:v>Greater Sydney</c:v>
                </c:pt>
                <c:pt idx="2">
                  <c:v>Middle Ring</c:v>
                </c:pt>
              </c:strCache>
            </c:strRef>
          </c:cat>
          <c:val>
            <c:numRef>
              <c:f>'Figure 4'!$F$21:$H$21</c:f>
              <c:numCache>
                <c:formatCode>_-"$"* #,##0.00_-;\-"$"* #,##0.00_-;_-"$"* "-"??_-;_-@_-</c:formatCode>
                <c:ptCount val="3"/>
                <c:pt idx="0">
                  <c:v>768</c:v>
                </c:pt>
                <c:pt idx="1">
                  <c:v>723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D-8447-9B6F-C6C4D04CE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209983"/>
        <c:axId val="1778974496"/>
      </c:barChart>
      <c:catAx>
        <c:axId val="26120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74496"/>
        <c:crosses val="autoZero"/>
        <c:auto val="1"/>
        <c:lblAlgn val="ctr"/>
        <c:lblOffset val="100"/>
        <c:noMultiLvlLbl val="0"/>
      </c:catAx>
      <c:valAx>
        <c:axId val="177897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09983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130650718594476E-2"/>
          <c:y val="0.12615646258503402"/>
          <c:w val="0.87196001945223334"/>
          <c:h val="0.73481252343457071"/>
        </c:manualLayout>
      </c:layout>
      <c:lineChart>
        <c:grouping val="standard"/>
        <c:varyColors val="0"/>
        <c:ser>
          <c:idx val="0"/>
          <c:order val="0"/>
          <c:tx>
            <c:strRef>
              <c:f>Sheet18!$B$1</c:f>
              <c:strCache>
                <c:ptCount val="1"/>
                <c:pt idx="0">
                  <c:v>Ryde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Sheet18!$A$2:$A$106</c:f>
              <c:numCache>
                <c:formatCode>mmm\-yy</c:formatCode>
                <c:ptCount val="105"/>
                <c:pt idx="0">
                  <c:v>33390</c:v>
                </c:pt>
                <c:pt idx="1">
                  <c:v>33482</c:v>
                </c:pt>
                <c:pt idx="2">
                  <c:v>33573</c:v>
                </c:pt>
                <c:pt idx="3">
                  <c:v>33664</c:v>
                </c:pt>
                <c:pt idx="4">
                  <c:v>33756</c:v>
                </c:pt>
                <c:pt idx="5">
                  <c:v>33848</c:v>
                </c:pt>
                <c:pt idx="6">
                  <c:v>33939</c:v>
                </c:pt>
                <c:pt idx="7">
                  <c:v>34029</c:v>
                </c:pt>
                <c:pt idx="8">
                  <c:v>34121</c:v>
                </c:pt>
                <c:pt idx="9">
                  <c:v>34213</c:v>
                </c:pt>
                <c:pt idx="10">
                  <c:v>34304</c:v>
                </c:pt>
                <c:pt idx="11">
                  <c:v>34394</c:v>
                </c:pt>
                <c:pt idx="12">
                  <c:v>34486</c:v>
                </c:pt>
                <c:pt idx="13">
                  <c:v>34578</c:v>
                </c:pt>
                <c:pt idx="14">
                  <c:v>34669</c:v>
                </c:pt>
                <c:pt idx="15">
                  <c:v>34759</c:v>
                </c:pt>
                <c:pt idx="16">
                  <c:v>34851</c:v>
                </c:pt>
                <c:pt idx="17">
                  <c:v>34943</c:v>
                </c:pt>
                <c:pt idx="18">
                  <c:v>35034</c:v>
                </c:pt>
                <c:pt idx="19">
                  <c:v>35125</c:v>
                </c:pt>
                <c:pt idx="20">
                  <c:v>35217</c:v>
                </c:pt>
                <c:pt idx="21">
                  <c:v>35309</c:v>
                </c:pt>
                <c:pt idx="22">
                  <c:v>35400</c:v>
                </c:pt>
                <c:pt idx="23">
                  <c:v>35490</c:v>
                </c:pt>
                <c:pt idx="24">
                  <c:v>35582</c:v>
                </c:pt>
                <c:pt idx="25">
                  <c:v>35674</c:v>
                </c:pt>
                <c:pt idx="26">
                  <c:v>35765</c:v>
                </c:pt>
                <c:pt idx="27">
                  <c:v>35855</c:v>
                </c:pt>
                <c:pt idx="28">
                  <c:v>35947</c:v>
                </c:pt>
                <c:pt idx="29">
                  <c:v>36039</c:v>
                </c:pt>
                <c:pt idx="30">
                  <c:v>36130</c:v>
                </c:pt>
                <c:pt idx="31">
                  <c:v>36220</c:v>
                </c:pt>
                <c:pt idx="32">
                  <c:v>36312</c:v>
                </c:pt>
                <c:pt idx="33">
                  <c:v>36404</c:v>
                </c:pt>
                <c:pt idx="34">
                  <c:v>36495</c:v>
                </c:pt>
                <c:pt idx="35">
                  <c:v>36586</c:v>
                </c:pt>
                <c:pt idx="36">
                  <c:v>36678</c:v>
                </c:pt>
                <c:pt idx="37">
                  <c:v>36770</c:v>
                </c:pt>
                <c:pt idx="38">
                  <c:v>36861</c:v>
                </c:pt>
                <c:pt idx="39">
                  <c:v>36951</c:v>
                </c:pt>
                <c:pt idx="40">
                  <c:v>37043</c:v>
                </c:pt>
                <c:pt idx="41">
                  <c:v>37135</c:v>
                </c:pt>
                <c:pt idx="42">
                  <c:v>37226</c:v>
                </c:pt>
                <c:pt idx="43">
                  <c:v>37316</c:v>
                </c:pt>
                <c:pt idx="44">
                  <c:v>37408</c:v>
                </c:pt>
                <c:pt idx="45">
                  <c:v>37500</c:v>
                </c:pt>
                <c:pt idx="46">
                  <c:v>37591</c:v>
                </c:pt>
                <c:pt idx="47">
                  <c:v>37681</c:v>
                </c:pt>
                <c:pt idx="48">
                  <c:v>37773</c:v>
                </c:pt>
                <c:pt idx="49">
                  <c:v>37865</c:v>
                </c:pt>
                <c:pt idx="50">
                  <c:v>37956</c:v>
                </c:pt>
                <c:pt idx="51">
                  <c:v>38047</c:v>
                </c:pt>
                <c:pt idx="52">
                  <c:v>38139</c:v>
                </c:pt>
                <c:pt idx="53">
                  <c:v>38231</c:v>
                </c:pt>
                <c:pt idx="54">
                  <c:v>38322</c:v>
                </c:pt>
                <c:pt idx="55">
                  <c:v>38412</c:v>
                </c:pt>
                <c:pt idx="56">
                  <c:v>38504</c:v>
                </c:pt>
                <c:pt idx="57">
                  <c:v>38596</c:v>
                </c:pt>
                <c:pt idx="58">
                  <c:v>38687</c:v>
                </c:pt>
                <c:pt idx="59">
                  <c:v>38777</c:v>
                </c:pt>
                <c:pt idx="60">
                  <c:v>38869</c:v>
                </c:pt>
                <c:pt idx="61">
                  <c:v>38961</c:v>
                </c:pt>
                <c:pt idx="62">
                  <c:v>39052</c:v>
                </c:pt>
                <c:pt idx="63">
                  <c:v>39142</c:v>
                </c:pt>
                <c:pt idx="64">
                  <c:v>39234</c:v>
                </c:pt>
                <c:pt idx="65">
                  <c:v>39326</c:v>
                </c:pt>
                <c:pt idx="66">
                  <c:v>39417</c:v>
                </c:pt>
                <c:pt idx="67">
                  <c:v>39508</c:v>
                </c:pt>
                <c:pt idx="68">
                  <c:v>39600</c:v>
                </c:pt>
                <c:pt idx="69">
                  <c:v>39692</c:v>
                </c:pt>
                <c:pt idx="70">
                  <c:v>39783</c:v>
                </c:pt>
                <c:pt idx="71">
                  <c:v>39873</c:v>
                </c:pt>
                <c:pt idx="72">
                  <c:v>39965</c:v>
                </c:pt>
                <c:pt idx="73">
                  <c:v>40057</c:v>
                </c:pt>
                <c:pt idx="74">
                  <c:v>40148</c:v>
                </c:pt>
                <c:pt idx="75">
                  <c:v>40238</c:v>
                </c:pt>
                <c:pt idx="76">
                  <c:v>40330</c:v>
                </c:pt>
                <c:pt idx="77">
                  <c:v>40422</c:v>
                </c:pt>
                <c:pt idx="78">
                  <c:v>40513</c:v>
                </c:pt>
                <c:pt idx="79">
                  <c:v>40603</c:v>
                </c:pt>
                <c:pt idx="80">
                  <c:v>40695</c:v>
                </c:pt>
                <c:pt idx="81">
                  <c:v>40787</c:v>
                </c:pt>
                <c:pt idx="82">
                  <c:v>40878</c:v>
                </c:pt>
                <c:pt idx="83">
                  <c:v>40969</c:v>
                </c:pt>
                <c:pt idx="84">
                  <c:v>41061</c:v>
                </c:pt>
                <c:pt idx="85">
                  <c:v>41153</c:v>
                </c:pt>
                <c:pt idx="86">
                  <c:v>41244</c:v>
                </c:pt>
                <c:pt idx="87">
                  <c:v>41334</c:v>
                </c:pt>
                <c:pt idx="88">
                  <c:v>41426</c:v>
                </c:pt>
                <c:pt idx="89">
                  <c:v>41518</c:v>
                </c:pt>
                <c:pt idx="90">
                  <c:v>41609</c:v>
                </c:pt>
                <c:pt idx="91">
                  <c:v>41699</c:v>
                </c:pt>
                <c:pt idx="92">
                  <c:v>41791</c:v>
                </c:pt>
                <c:pt idx="93">
                  <c:v>41883</c:v>
                </c:pt>
                <c:pt idx="94">
                  <c:v>41974</c:v>
                </c:pt>
                <c:pt idx="95">
                  <c:v>42064</c:v>
                </c:pt>
                <c:pt idx="96">
                  <c:v>42156</c:v>
                </c:pt>
                <c:pt idx="97">
                  <c:v>42248</c:v>
                </c:pt>
                <c:pt idx="98">
                  <c:v>42339</c:v>
                </c:pt>
                <c:pt idx="99">
                  <c:v>42430</c:v>
                </c:pt>
                <c:pt idx="100">
                  <c:v>42522</c:v>
                </c:pt>
                <c:pt idx="101">
                  <c:v>42614</c:v>
                </c:pt>
                <c:pt idx="102">
                  <c:v>42705</c:v>
                </c:pt>
                <c:pt idx="103">
                  <c:v>42795</c:v>
                </c:pt>
                <c:pt idx="104">
                  <c:v>42887</c:v>
                </c:pt>
              </c:numCache>
            </c:numRef>
          </c:cat>
          <c:val>
            <c:numRef>
              <c:f>Sheet18!$B$2:$B$106</c:f>
              <c:numCache>
                <c:formatCode>0%</c:formatCode>
                <c:ptCount val="105"/>
                <c:pt idx="0">
                  <c:v>-5.681818181818182E-3</c:v>
                </c:pt>
                <c:pt idx="1">
                  <c:v>2.8571428571428571E-2</c:v>
                </c:pt>
                <c:pt idx="2">
                  <c:v>2.7777777777777776E-2</c:v>
                </c:pt>
                <c:pt idx="3">
                  <c:v>-1.6216216216216217E-2</c:v>
                </c:pt>
                <c:pt idx="4">
                  <c:v>1.6483516483516484E-2</c:v>
                </c:pt>
                <c:pt idx="5">
                  <c:v>1.0810810810810811E-2</c:v>
                </c:pt>
                <c:pt idx="6">
                  <c:v>4.2780748663101602E-2</c:v>
                </c:pt>
                <c:pt idx="7">
                  <c:v>-1.5384615384615385E-2</c:v>
                </c:pt>
                <c:pt idx="8">
                  <c:v>1.5625E-2</c:v>
                </c:pt>
                <c:pt idx="9">
                  <c:v>3.0769230769230771E-2</c:v>
                </c:pt>
                <c:pt idx="10">
                  <c:v>-1.4925373134328358E-2</c:v>
                </c:pt>
                <c:pt idx="11">
                  <c:v>1.0101010101010102E-2</c:v>
                </c:pt>
                <c:pt idx="12">
                  <c:v>2.5000000000000001E-2</c:v>
                </c:pt>
                <c:pt idx="13">
                  <c:v>7.3170731707317069E-2</c:v>
                </c:pt>
                <c:pt idx="14">
                  <c:v>-2.7272727272727271E-2</c:v>
                </c:pt>
                <c:pt idx="15">
                  <c:v>8.4112149532710276E-2</c:v>
                </c:pt>
                <c:pt idx="16">
                  <c:v>-2.5862068965517241E-2</c:v>
                </c:pt>
                <c:pt idx="17">
                  <c:v>2.6548672566371681E-2</c:v>
                </c:pt>
                <c:pt idx="18">
                  <c:v>-4.7413793103448273E-2</c:v>
                </c:pt>
                <c:pt idx="19">
                  <c:v>3.1674208144796379E-2</c:v>
                </c:pt>
                <c:pt idx="20">
                  <c:v>-2.1929824561403508E-2</c:v>
                </c:pt>
                <c:pt idx="21">
                  <c:v>0</c:v>
                </c:pt>
                <c:pt idx="22">
                  <c:v>2.2421524663677129E-2</c:v>
                </c:pt>
                <c:pt idx="23">
                  <c:v>1.7543859649122806E-2</c:v>
                </c:pt>
                <c:pt idx="24">
                  <c:v>4.7413793103448273E-2</c:v>
                </c:pt>
                <c:pt idx="25">
                  <c:v>9.0534979423868317E-2</c:v>
                </c:pt>
                <c:pt idx="26">
                  <c:v>3.3962264150943396E-2</c:v>
                </c:pt>
                <c:pt idx="27">
                  <c:v>7.2992700729927005E-3</c:v>
                </c:pt>
                <c:pt idx="28">
                  <c:v>7.246376811594203E-3</c:v>
                </c:pt>
                <c:pt idx="29">
                  <c:v>-7.1942446043165471E-3</c:v>
                </c:pt>
                <c:pt idx="30">
                  <c:v>1.4492753623188406E-2</c:v>
                </c:pt>
                <c:pt idx="31">
                  <c:v>0.10357142857142858</c:v>
                </c:pt>
                <c:pt idx="32">
                  <c:v>2.2653721682847898E-2</c:v>
                </c:pt>
                <c:pt idx="33">
                  <c:v>-3.1645569620253164E-3</c:v>
                </c:pt>
                <c:pt idx="34">
                  <c:v>2.5396825396825397E-2</c:v>
                </c:pt>
                <c:pt idx="35">
                  <c:v>1.5479876160990712E-2</c:v>
                </c:pt>
                <c:pt idx="36">
                  <c:v>8.5365853658536592E-2</c:v>
                </c:pt>
                <c:pt idx="37">
                  <c:v>-6.4606741573033713E-2</c:v>
                </c:pt>
                <c:pt idx="38">
                  <c:v>2.1021021021021023E-2</c:v>
                </c:pt>
                <c:pt idx="39">
                  <c:v>2.9411764705882353E-2</c:v>
                </c:pt>
                <c:pt idx="40">
                  <c:v>6.8571428571428575E-2</c:v>
                </c:pt>
                <c:pt idx="41">
                  <c:v>2.9411764705882353E-2</c:v>
                </c:pt>
                <c:pt idx="42">
                  <c:v>-2.5974025974025974E-3</c:v>
                </c:pt>
                <c:pt idx="43">
                  <c:v>6.7708333333333329E-2</c:v>
                </c:pt>
                <c:pt idx="44">
                  <c:v>0.12195121951219512</c:v>
                </c:pt>
                <c:pt idx="45">
                  <c:v>4.5652173913043478E-2</c:v>
                </c:pt>
                <c:pt idx="46">
                  <c:v>-3.3264033264033266E-2</c:v>
                </c:pt>
                <c:pt idx="47">
                  <c:v>-5.3763440860215055E-2</c:v>
                </c:pt>
                <c:pt idx="48">
                  <c:v>7.7272727272727271E-2</c:v>
                </c:pt>
                <c:pt idx="49">
                  <c:v>8.4388185654008435E-2</c:v>
                </c:pt>
                <c:pt idx="50">
                  <c:v>2.1400778210116732E-2</c:v>
                </c:pt>
                <c:pt idx="51">
                  <c:v>4.9523809523809526E-2</c:v>
                </c:pt>
                <c:pt idx="52">
                  <c:v>-0.18330308529945555</c:v>
                </c:pt>
                <c:pt idx="53">
                  <c:v>9.3333333333333338E-2</c:v>
                </c:pt>
                <c:pt idx="54">
                  <c:v>-4.0650406504065045E-3</c:v>
                </c:pt>
                <c:pt idx="55">
                  <c:v>2.2448979591836733E-2</c:v>
                </c:pt>
                <c:pt idx="56">
                  <c:v>-1.1976047904191617E-2</c:v>
                </c:pt>
                <c:pt idx="57">
                  <c:v>-3.0303030303030304E-2</c:v>
                </c:pt>
                <c:pt idx="58">
                  <c:v>6.25E-2</c:v>
                </c:pt>
                <c:pt idx="59">
                  <c:v>9.8039215686274508E-3</c:v>
                </c:pt>
                <c:pt idx="60">
                  <c:v>9.7087378640776691E-3</c:v>
                </c:pt>
                <c:pt idx="61">
                  <c:v>-9.8076923076923075E-2</c:v>
                </c:pt>
                <c:pt idx="62">
                  <c:v>0.16204690831556504</c:v>
                </c:pt>
                <c:pt idx="63">
                  <c:v>-0.12844036697247707</c:v>
                </c:pt>
                <c:pt idx="64">
                  <c:v>5.473684210526316E-2</c:v>
                </c:pt>
                <c:pt idx="65">
                  <c:v>4.3912175648702596E-2</c:v>
                </c:pt>
                <c:pt idx="66">
                  <c:v>-6.3097514340344163E-2</c:v>
                </c:pt>
                <c:pt idx="67">
                  <c:v>-5.1020408163265307E-2</c:v>
                </c:pt>
                <c:pt idx="68">
                  <c:v>0.11827956989247312</c:v>
                </c:pt>
                <c:pt idx="69">
                  <c:v>-3.8461538461538464E-2</c:v>
                </c:pt>
                <c:pt idx="70">
                  <c:v>-6.4000000000000001E-2</c:v>
                </c:pt>
                <c:pt idx="71">
                  <c:v>3.4188034188034191E-2</c:v>
                </c:pt>
                <c:pt idx="72">
                  <c:v>4.9586776859504134E-2</c:v>
                </c:pt>
                <c:pt idx="73">
                  <c:v>1.1811023622047244E-2</c:v>
                </c:pt>
                <c:pt idx="74">
                  <c:v>0.12840466926070038</c:v>
                </c:pt>
                <c:pt idx="75">
                  <c:v>-1.5517241379310345E-2</c:v>
                </c:pt>
                <c:pt idx="76">
                  <c:v>0.16462346760070051</c:v>
                </c:pt>
                <c:pt idx="77">
                  <c:v>-0.11278195488721804</c:v>
                </c:pt>
                <c:pt idx="78">
                  <c:v>0.11016949152542373</c:v>
                </c:pt>
                <c:pt idx="79">
                  <c:v>-8.3969465648854963E-2</c:v>
                </c:pt>
                <c:pt idx="80">
                  <c:v>0.12</c:v>
                </c:pt>
                <c:pt idx="81">
                  <c:v>-0.10714285714285714</c:v>
                </c:pt>
                <c:pt idx="82">
                  <c:v>-0.10166666666666667</c:v>
                </c:pt>
                <c:pt idx="83">
                  <c:v>5.7513914656771803E-2</c:v>
                </c:pt>
                <c:pt idx="84">
                  <c:v>4.3859649122807015E-2</c:v>
                </c:pt>
                <c:pt idx="85">
                  <c:v>6.5546218487394961E-2</c:v>
                </c:pt>
                <c:pt idx="86">
                  <c:v>0.13564668769716087</c:v>
                </c:pt>
                <c:pt idx="87">
                  <c:v>-0.10416666666666667</c:v>
                </c:pt>
                <c:pt idx="88">
                  <c:v>8.0620155038759689E-2</c:v>
                </c:pt>
                <c:pt idx="89">
                  <c:v>-6.7431850789096123E-2</c:v>
                </c:pt>
                <c:pt idx="90">
                  <c:v>0</c:v>
                </c:pt>
                <c:pt idx="91">
                  <c:v>7.3846153846153853E-2</c:v>
                </c:pt>
                <c:pt idx="92">
                  <c:v>2.865329512893983E-2</c:v>
                </c:pt>
                <c:pt idx="93">
                  <c:v>1.6713091922005572E-2</c:v>
                </c:pt>
                <c:pt idx="94">
                  <c:v>0.15068493150684931</c:v>
                </c:pt>
                <c:pt idx="95">
                  <c:v>-0.11547619047619048</c:v>
                </c:pt>
                <c:pt idx="96">
                  <c:v>0.17092866756393002</c:v>
                </c:pt>
                <c:pt idx="97">
                  <c:v>3.4482758620689655E-2</c:v>
                </c:pt>
                <c:pt idx="98">
                  <c:v>-2.2222222222222223E-2</c:v>
                </c:pt>
                <c:pt idx="99">
                  <c:v>-5.681818181818182E-3</c:v>
                </c:pt>
                <c:pt idx="100">
                  <c:v>0.192</c:v>
                </c:pt>
                <c:pt idx="101">
                  <c:v>-0.14189837008628955</c:v>
                </c:pt>
                <c:pt idx="102">
                  <c:v>0.11955307262569832</c:v>
                </c:pt>
                <c:pt idx="103">
                  <c:v>-0.1317365269461078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2-E848-B3E8-AF6F316ACA55}"/>
            </c:ext>
          </c:extLst>
        </c:ser>
        <c:ser>
          <c:idx val="1"/>
          <c:order val="1"/>
          <c:tx>
            <c:strRef>
              <c:f>Sheet18!$E$1</c:f>
              <c:strCache>
                <c:ptCount val="1"/>
                <c:pt idx="0">
                  <c:v>Greater 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Sheet18!$A$2:$A$106</c:f>
              <c:numCache>
                <c:formatCode>mmm\-yy</c:formatCode>
                <c:ptCount val="105"/>
                <c:pt idx="0">
                  <c:v>33390</c:v>
                </c:pt>
                <c:pt idx="1">
                  <c:v>33482</c:v>
                </c:pt>
                <c:pt idx="2">
                  <c:v>33573</c:v>
                </c:pt>
                <c:pt idx="3">
                  <c:v>33664</c:v>
                </c:pt>
                <c:pt idx="4">
                  <c:v>33756</c:v>
                </c:pt>
                <c:pt idx="5">
                  <c:v>33848</c:v>
                </c:pt>
                <c:pt idx="6">
                  <c:v>33939</c:v>
                </c:pt>
                <c:pt idx="7">
                  <c:v>34029</c:v>
                </c:pt>
                <c:pt idx="8">
                  <c:v>34121</c:v>
                </c:pt>
                <c:pt idx="9">
                  <c:v>34213</c:v>
                </c:pt>
                <c:pt idx="10">
                  <c:v>34304</c:v>
                </c:pt>
                <c:pt idx="11">
                  <c:v>34394</c:v>
                </c:pt>
                <c:pt idx="12">
                  <c:v>34486</c:v>
                </c:pt>
                <c:pt idx="13">
                  <c:v>34578</c:v>
                </c:pt>
                <c:pt idx="14">
                  <c:v>34669</c:v>
                </c:pt>
                <c:pt idx="15">
                  <c:v>34759</c:v>
                </c:pt>
                <c:pt idx="16">
                  <c:v>34851</c:v>
                </c:pt>
                <c:pt idx="17">
                  <c:v>34943</c:v>
                </c:pt>
                <c:pt idx="18">
                  <c:v>35034</c:v>
                </c:pt>
                <c:pt idx="19">
                  <c:v>35125</c:v>
                </c:pt>
                <c:pt idx="20">
                  <c:v>35217</c:v>
                </c:pt>
                <c:pt idx="21">
                  <c:v>35309</c:v>
                </c:pt>
                <c:pt idx="22">
                  <c:v>35400</c:v>
                </c:pt>
                <c:pt idx="23">
                  <c:v>35490</c:v>
                </c:pt>
                <c:pt idx="24">
                  <c:v>35582</c:v>
                </c:pt>
                <c:pt idx="25">
                  <c:v>35674</c:v>
                </c:pt>
                <c:pt idx="26">
                  <c:v>35765</c:v>
                </c:pt>
                <c:pt idx="27">
                  <c:v>35855</c:v>
                </c:pt>
                <c:pt idx="28">
                  <c:v>35947</c:v>
                </c:pt>
                <c:pt idx="29">
                  <c:v>36039</c:v>
                </c:pt>
                <c:pt idx="30">
                  <c:v>36130</c:v>
                </c:pt>
                <c:pt idx="31">
                  <c:v>36220</c:v>
                </c:pt>
                <c:pt idx="32">
                  <c:v>36312</c:v>
                </c:pt>
                <c:pt idx="33">
                  <c:v>36404</c:v>
                </c:pt>
                <c:pt idx="34">
                  <c:v>36495</c:v>
                </c:pt>
                <c:pt idx="35">
                  <c:v>36586</c:v>
                </c:pt>
                <c:pt idx="36">
                  <c:v>36678</c:v>
                </c:pt>
                <c:pt idx="37">
                  <c:v>36770</c:v>
                </c:pt>
                <c:pt idx="38">
                  <c:v>36861</c:v>
                </c:pt>
                <c:pt idx="39">
                  <c:v>36951</c:v>
                </c:pt>
                <c:pt idx="40">
                  <c:v>37043</c:v>
                </c:pt>
                <c:pt idx="41">
                  <c:v>37135</c:v>
                </c:pt>
                <c:pt idx="42">
                  <c:v>37226</c:v>
                </c:pt>
                <c:pt idx="43">
                  <c:v>37316</c:v>
                </c:pt>
                <c:pt idx="44">
                  <c:v>37408</c:v>
                </c:pt>
                <c:pt idx="45">
                  <c:v>37500</c:v>
                </c:pt>
                <c:pt idx="46">
                  <c:v>37591</c:v>
                </c:pt>
                <c:pt idx="47">
                  <c:v>37681</c:v>
                </c:pt>
                <c:pt idx="48">
                  <c:v>37773</c:v>
                </c:pt>
                <c:pt idx="49">
                  <c:v>37865</c:v>
                </c:pt>
                <c:pt idx="50">
                  <c:v>37956</c:v>
                </c:pt>
                <c:pt idx="51">
                  <c:v>38047</c:v>
                </c:pt>
                <c:pt idx="52">
                  <c:v>38139</c:v>
                </c:pt>
                <c:pt idx="53">
                  <c:v>38231</c:v>
                </c:pt>
                <c:pt idx="54">
                  <c:v>38322</c:v>
                </c:pt>
                <c:pt idx="55">
                  <c:v>38412</c:v>
                </c:pt>
                <c:pt idx="56">
                  <c:v>38504</c:v>
                </c:pt>
                <c:pt idx="57">
                  <c:v>38596</c:v>
                </c:pt>
                <c:pt idx="58">
                  <c:v>38687</c:v>
                </c:pt>
                <c:pt idx="59">
                  <c:v>38777</c:v>
                </c:pt>
                <c:pt idx="60">
                  <c:v>38869</c:v>
                </c:pt>
                <c:pt idx="61">
                  <c:v>38961</c:v>
                </c:pt>
                <c:pt idx="62">
                  <c:v>39052</c:v>
                </c:pt>
                <c:pt idx="63">
                  <c:v>39142</c:v>
                </c:pt>
                <c:pt idx="64">
                  <c:v>39234</c:v>
                </c:pt>
                <c:pt idx="65">
                  <c:v>39326</c:v>
                </c:pt>
                <c:pt idx="66">
                  <c:v>39417</c:v>
                </c:pt>
                <c:pt idx="67">
                  <c:v>39508</c:v>
                </c:pt>
                <c:pt idx="68">
                  <c:v>39600</c:v>
                </c:pt>
                <c:pt idx="69">
                  <c:v>39692</c:v>
                </c:pt>
                <c:pt idx="70">
                  <c:v>39783</c:v>
                </c:pt>
                <c:pt idx="71">
                  <c:v>39873</c:v>
                </c:pt>
                <c:pt idx="72">
                  <c:v>39965</c:v>
                </c:pt>
                <c:pt idx="73">
                  <c:v>40057</c:v>
                </c:pt>
                <c:pt idx="74">
                  <c:v>40148</c:v>
                </c:pt>
                <c:pt idx="75">
                  <c:v>40238</c:v>
                </c:pt>
                <c:pt idx="76">
                  <c:v>40330</c:v>
                </c:pt>
                <c:pt idx="77">
                  <c:v>40422</c:v>
                </c:pt>
                <c:pt idx="78">
                  <c:v>40513</c:v>
                </c:pt>
                <c:pt idx="79">
                  <c:v>40603</c:v>
                </c:pt>
                <c:pt idx="80">
                  <c:v>40695</c:v>
                </c:pt>
                <c:pt idx="81">
                  <c:v>40787</c:v>
                </c:pt>
                <c:pt idx="82">
                  <c:v>40878</c:v>
                </c:pt>
                <c:pt idx="83">
                  <c:v>40969</c:v>
                </c:pt>
                <c:pt idx="84">
                  <c:v>41061</c:v>
                </c:pt>
                <c:pt idx="85">
                  <c:v>41153</c:v>
                </c:pt>
                <c:pt idx="86">
                  <c:v>41244</c:v>
                </c:pt>
                <c:pt idx="87">
                  <c:v>41334</c:v>
                </c:pt>
                <c:pt idx="88">
                  <c:v>41426</c:v>
                </c:pt>
                <c:pt idx="89">
                  <c:v>41518</c:v>
                </c:pt>
                <c:pt idx="90">
                  <c:v>41609</c:v>
                </c:pt>
                <c:pt idx="91">
                  <c:v>41699</c:v>
                </c:pt>
                <c:pt idx="92">
                  <c:v>41791</c:v>
                </c:pt>
                <c:pt idx="93">
                  <c:v>41883</c:v>
                </c:pt>
                <c:pt idx="94">
                  <c:v>41974</c:v>
                </c:pt>
                <c:pt idx="95">
                  <c:v>42064</c:v>
                </c:pt>
                <c:pt idx="96">
                  <c:v>42156</c:v>
                </c:pt>
                <c:pt idx="97">
                  <c:v>42248</c:v>
                </c:pt>
                <c:pt idx="98">
                  <c:v>42339</c:v>
                </c:pt>
                <c:pt idx="99">
                  <c:v>42430</c:v>
                </c:pt>
                <c:pt idx="100">
                  <c:v>42522</c:v>
                </c:pt>
                <c:pt idx="101">
                  <c:v>42614</c:v>
                </c:pt>
                <c:pt idx="102">
                  <c:v>42705</c:v>
                </c:pt>
                <c:pt idx="103">
                  <c:v>42795</c:v>
                </c:pt>
                <c:pt idx="104">
                  <c:v>42887</c:v>
                </c:pt>
              </c:numCache>
            </c:numRef>
          </c:cat>
          <c:val>
            <c:numRef>
              <c:f>Sheet18!$E$2:$E$106</c:f>
              <c:numCache>
                <c:formatCode>0%</c:formatCode>
                <c:ptCount val="105"/>
                <c:pt idx="0">
                  <c:v>3.3333333333333333E-2</c:v>
                </c:pt>
                <c:pt idx="1">
                  <c:v>1.935483870967742E-2</c:v>
                </c:pt>
                <c:pt idx="2">
                  <c:v>4.4303797468354431E-2</c:v>
                </c:pt>
                <c:pt idx="3">
                  <c:v>-3.0303030303030304E-2</c:v>
                </c:pt>
                <c:pt idx="4">
                  <c:v>3.125E-2</c:v>
                </c:pt>
                <c:pt idx="5">
                  <c:v>0</c:v>
                </c:pt>
                <c:pt idx="6">
                  <c:v>1.2121212121212121E-2</c:v>
                </c:pt>
                <c:pt idx="7">
                  <c:v>-1.1976047904191617E-2</c:v>
                </c:pt>
                <c:pt idx="8">
                  <c:v>3.0303030303030304E-2</c:v>
                </c:pt>
                <c:pt idx="9">
                  <c:v>0</c:v>
                </c:pt>
                <c:pt idx="10">
                  <c:v>0</c:v>
                </c:pt>
                <c:pt idx="11">
                  <c:v>2.9411764705882353E-2</c:v>
                </c:pt>
                <c:pt idx="12">
                  <c:v>0</c:v>
                </c:pt>
                <c:pt idx="13">
                  <c:v>5.7142857142857141E-2</c:v>
                </c:pt>
                <c:pt idx="14">
                  <c:v>1.0810810810810811E-2</c:v>
                </c:pt>
                <c:pt idx="15">
                  <c:v>-1.6042780748663103E-2</c:v>
                </c:pt>
                <c:pt idx="16">
                  <c:v>1.6304347826086956E-2</c:v>
                </c:pt>
                <c:pt idx="17">
                  <c:v>-5.3475935828877002E-3</c:v>
                </c:pt>
                <c:pt idx="18">
                  <c:v>2.1505376344086023E-2</c:v>
                </c:pt>
                <c:pt idx="19">
                  <c:v>0</c:v>
                </c:pt>
                <c:pt idx="20">
                  <c:v>4.2105263157894736E-2</c:v>
                </c:pt>
                <c:pt idx="21">
                  <c:v>1.0101010101010102E-2</c:v>
                </c:pt>
                <c:pt idx="22">
                  <c:v>7.0000000000000007E-2</c:v>
                </c:pt>
                <c:pt idx="23">
                  <c:v>4.6728971962616819E-3</c:v>
                </c:pt>
                <c:pt idx="24">
                  <c:v>2.7906976744186046E-2</c:v>
                </c:pt>
                <c:pt idx="25">
                  <c:v>3.1674208144796379E-2</c:v>
                </c:pt>
                <c:pt idx="26">
                  <c:v>3.5087719298245612E-2</c:v>
                </c:pt>
                <c:pt idx="27">
                  <c:v>-1.2711864406779662E-2</c:v>
                </c:pt>
                <c:pt idx="28">
                  <c:v>3.0042918454935622E-2</c:v>
                </c:pt>
                <c:pt idx="29">
                  <c:v>0</c:v>
                </c:pt>
                <c:pt idx="30">
                  <c:v>4.1666666666666664E-2</c:v>
                </c:pt>
                <c:pt idx="31">
                  <c:v>0</c:v>
                </c:pt>
                <c:pt idx="32">
                  <c:v>0.06</c:v>
                </c:pt>
                <c:pt idx="33">
                  <c:v>1.8867924528301886E-2</c:v>
                </c:pt>
                <c:pt idx="34">
                  <c:v>3.7037037037037035E-2</c:v>
                </c:pt>
                <c:pt idx="35">
                  <c:v>-3.5714285714285713E-3</c:v>
                </c:pt>
                <c:pt idx="36">
                  <c:v>5.7347670250896057E-2</c:v>
                </c:pt>
                <c:pt idx="37">
                  <c:v>-6.7796610169491525E-2</c:v>
                </c:pt>
                <c:pt idx="38">
                  <c:v>6.545454545454546E-2</c:v>
                </c:pt>
                <c:pt idx="39">
                  <c:v>2.0477815699658702E-2</c:v>
                </c:pt>
                <c:pt idx="40">
                  <c:v>5.6856187290969896E-2</c:v>
                </c:pt>
                <c:pt idx="41">
                  <c:v>3.7974683544303799E-2</c:v>
                </c:pt>
                <c:pt idx="42">
                  <c:v>3.048780487804878E-2</c:v>
                </c:pt>
                <c:pt idx="43">
                  <c:v>3.5502958579881658E-2</c:v>
                </c:pt>
                <c:pt idx="44">
                  <c:v>5.7142857142857141E-2</c:v>
                </c:pt>
                <c:pt idx="45">
                  <c:v>4.0540540540540543E-2</c:v>
                </c:pt>
                <c:pt idx="46">
                  <c:v>3.896103896103896E-2</c:v>
                </c:pt>
                <c:pt idx="47">
                  <c:v>-5.0000000000000001E-3</c:v>
                </c:pt>
                <c:pt idx="48">
                  <c:v>4.2713567839195977E-2</c:v>
                </c:pt>
                <c:pt idx="49">
                  <c:v>1.9277108433734941E-2</c:v>
                </c:pt>
                <c:pt idx="50">
                  <c:v>4.7281323877068557E-2</c:v>
                </c:pt>
                <c:pt idx="51">
                  <c:v>-1.8058690744920992E-2</c:v>
                </c:pt>
                <c:pt idx="52">
                  <c:v>-1.8390804597701149E-2</c:v>
                </c:pt>
                <c:pt idx="53">
                  <c:v>1.873536299765808E-2</c:v>
                </c:pt>
                <c:pt idx="54">
                  <c:v>3.2183908045977011E-2</c:v>
                </c:pt>
                <c:pt idx="55">
                  <c:v>-4.2316258351893093E-2</c:v>
                </c:pt>
                <c:pt idx="56">
                  <c:v>1.1627906976744186E-2</c:v>
                </c:pt>
                <c:pt idx="57">
                  <c:v>-2.2988505747126436E-2</c:v>
                </c:pt>
                <c:pt idx="58">
                  <c:v>1.8823529411764704E-2</c:v>
                </c:pt>
                <c:pt idx="59">
                  <c:v>-3.0023094688221709E-2</c:v>
                </c:pt>
                <c:pt idx="60">
                  <c:v>3.8095238095238099E-2</c:v>
                </c:pt>
                <c:pt idx="61">
                  <c:v>-3.669724770642202E-2</c:v>
                </c:pt>
                <c:pt idx="62">
                  <c:v>5.2380952380952382E-2</c:v>
                </c:pt>
                <c:pt idx="63">
                  <c:v>-3.8461538461538464E-2</c:v>
                </c:pt>
                <c:pt idx="64">
                  <c:v>5.8823529411764705E-2</c:v>
                </c:pt>
                <c:pt idx="65">
                  <c:v>-1.1111111111111112E-2</c:v>
                </c:pt>
                <c:pt idx="66">
                  <c:v>4.49438202247191E-2</c:v>
                </c:pt>
                <c:pt idx="67">
                  <c:v>-6.4516129032258063E-2</c:v>
                </c:pt>
                <c:pt idx="68">
                  <c:v>0</c:v>
                </c:pt>
                <c:pt idx="69">
                  <c:v>-3.4482758620689655E-2</c:v>
                </c:pt>
                <c:pt idx="70">
                  <c:v>-1.9047619047619049E-2</c:v>
                </c:pt>
                <c:pt idx="71">
                  <c:v>-9.7087378640776691E-3</c:v>
                </c:pt>
                <c:pt idx="72">
                  <c:v>6.6176470588235295E-2</c:v>
                </c:pt>
                <c:pt idx="73">
                  <c:v>3.4482758620689655E-2</c:v>
                </c:pt>
                <c:pt idx="74">
                  <c:v>0.1111111111111111</c:v>
                </c:pt>
                <c:pt idx="75">
                  <c:v>0</c:v>
                </c:pt>
                <c:pt idx="76">
                  <c:v>4.5999999999999999E-2</c:v>
                </c:pt>
                <c:pt idx="77">
                  <c:v>-1.5296367112810707E-2</c:v>
                </c:pt>
                <c:pt idx="78">
                  <c:v>3.8834951456310676E-2</c:v>
                </c:pt>
                <c:pt idx="79">
                  <c:v>8.4112149532710276E-2</c:v>
                </c:pt>
                <c:pt idx="80">
                  <c:v>-6.8965517241379309E-2</c:v>
                </c:pt>
                <c:pt idx="81">
                  <c:v>-5.5555555555555552E-2</c:v>
                </c:pt>
                <c:pt idx="82">
                  <c:v>-3.7254901960784313E-2</c:v>
                </c:pt>
                <c:pt idx="83">
                  <c:v>9.9796334012219962E-2</c:v>
                </c:pt>
                <c:pt idx="84">
                  <c:v>9.2592592592592587E-3</c:v>
                </c:pt>
                <c:pt idx="85">
                  <c:v>-3.669724770642202E-2</c:v>
                </c:pt>
                <c:pt idx="86">
                  <c:v>6.6666666666666666E-2</c:v>
                </c:pt>
                <c:pt idx="87">
                  <c:v>-1.7857142857142856E-2</c:v>
                </c:pt>
                <c:pt idx="88">
                  <c:v>4.5454545454545456E-2</c:v>
                </c:pt>
                <c:pt idx="89">
                  <c:v>2.6086956521739129E-2</c:v>
                </c:pt>
                <c:pt idx="90">
                  <c:v>1.6949152542372881E-2</c:v>
                </c:pt>
                <c:pt idx="91">
                  <c:v>7.4999999999999997E-2</c:v>
                </c:pt>
                <c:pt idx="92">
                  <c:v>7.7519379844961239E-3</c:v>
                </c:pt>
                <c:pt idx="93">
                  <c:v>3.0769230769230771E-2</c:v>
                </c:pt>
                <c:pt idx="94">
                  <c:v>4.4776119402985072E-2</c:v>
                </c:pt>
                <c:pt idx="95">
                  <c:v>0</c:v>
                </c:pt>
                <c:pt idx="96">
                  <c:v>7.1428571428571425E-2</c:v>
                </c:pt>
                <c:pt idx="97">
                  <c:v>2.6666666666666668E-2</c:v>
                </c:pt>
                <c:pt idx="98">
                  <c:v>2.5974025974025976E-2</c:v>
                </c:pt>
                <c:pt idx="99">
                  <c:v>-3.7974683544303799E-2</c:v>
                </c:pt>
                <c:pt idx="100">
                  <c:v>2.6315789473684209E-2</c:v>
                </c:pt>
                <c:pt idx="101">
                  <c:v>1.0256410256410256E-2</c:v>
                </c:pt>
                <c:pt idx="102">
                  <c:v>6.5989847715736044E-2</c:v>
                </c:pt>
                <c:pt idx="103">
                  <c:v>-3.5714285714285712E-2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B2-E848-B3E8-AF6F316AC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51215"/>
        <c:axId val="1717445936"/>
      </c:lineChart>
      <c:dateAx>
        <c:axId val="9165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445936"/>
        <c:crosses val="autoZero"/>
        <c:auto val="1"/>
        <c:lblOffset val="100"/>
        <c:baseTimeUnit val="months"/>
      </c:dateAx>
      <c:valAx>
        <c:axId val="17174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Sheet18!$C$1</c:f>
              <c:strCache>
                <c:ptCount val="1"/>
                <c:pt idx="0">
                  <c:v>Non Strata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Sheet18!$A$2:$A$106</c:f>
              <c:numCache>
                <c:formatCode>mmm\-yy</c:formatCode>
                <c:ptCount val="105"/>
                <c:pt idx="0">
                  <c:v>33390</c:v>
                </c:pt>
                <c:pt idx="1">
                  <c:v>33482</c:v>
                </c:pt>
                <c:pt idx="2">
                  <c:v>33573</c:v>
                </c:pt>
                <c:pt idx="3">
                  <c:v>33664</c:v>
                </c:pt>
                <c:pt idx="4">
                  <c:v>33756</c:v>
                </c:pt>
                <c:pt idx="5">
                  <c:v>33848</c:v>
                </c:pt>
                <c:pt idx="6">
                  <c:v>33939</c:v>
                </c:pt>
                <c:pt idx="7">
                  <c:v>34029</c:v>
                </c:pt>
                <c:pt idx="8">
                  <c:v>34121</c:v>
                </c:pt>
                <c:pt idx="9">
                  <c:v>34213</c:v>
                </c:pt>
                <c:pt idx="10">
                  <c:v>34304</c:v>
                </c:pt>
                <c:pt idx="11">
                  <c:v>34394</c:v>
                </c:pt>
                <c:pt idx="12">
                  <c:v>34486</c:v>
                </c:pt>
                <c:pt idx="13">
                  <c:v>34578</c:v>
                </c:pt>
                <c:pt idx="14">
                  <c:v>34669</c:v>
                </c:pt>
                <c:pt idx="15">
                  <c:v>34759</c:v>
                </c:pt>
                <c:pt idx="16">
                  <c:v>34851</c:v>
                </c:pt>
                <c:pt idx="17">
                  <c:v>34943</c:v>
                </c:pt>
                <c:pt idx="18">
                  <c:v>35034</c:v>
                </c:pt>
                <c:pt idx="19">
                  <c:v>35125</c:v>
                </c:pt>
                <c:pt idx="20">
                  <c:v>35217</c:v>
                </c:pt>
                <c:pt idx="21">
                  <c:v>35309</c:v>
                </c:pt>
                <c:pt idx="22">
                  <c:v>35400</c:v>
                </c:pt>
                <c:pt idx="23">
                  <c:v>35490</c:v>
                </c:pt>
                <c:pt idx="24">
                  <c:v>35582</c:v>
                </c:pt>
                <c:pt idx="25">
                  <c:v>35674</c:v>
                </c:pt>
                <c:pt idx="26">
                  <c:v>35765</c:v>
                </c:pt>
                <c:pt idx="27">
                  <c:v>35855</c:v>
                </c:pt>
                <c:pt idx="28">
                  <c:v>35947</c:v>
                </c:pt>
                <c:pt idx="29">
                  <c:v>36039</c:v>
                </c:pt>
                <c:pt idx="30">
                  <c:v>36130</c:v>
                </c:pt>
                <c:pt idx="31">
                  <c:v>36220</c:v>
                </c:pt>
                <c:pt idx="32">
                  <c:v>36312</c:v>
                </c:pt>
                <c:pt idx="33">
                  <c:v>36404</c:v>
                </c:pt>
                <c:pt idx="34">
                  <c:v>36495</c:v>
                </c:pt>
                <c:pt idx="35">
                  <c:v>36586</c:v>
                </c:pt>
                <c:pt idx="36">
                  <c:v>36678</c:v>
                </c:pt>
                <c:pt idx="37">
                  <c:v>36770</c:v>
                </c:pt>
                <c:pt idx="38">
                  <c:v>36861</c:v>
                </c:pt>
                <c:pt idx="39">
                  <c:v>36951</c:v>
                </c:pt>
                <c:pt idx="40">
                  <c:v>37043</c:v>
                </c:pt>
                <c:pt idx="41">
                  <c:v>37135</c:v>
                </c:pt>
                <c:pt idx="42">
                  <c:v>37226</c:v>
                </c:pt>
                <c:pt idx="43">
                  <c:v>37316</c:v>
                </c:pt>
                <c:pt idx="44">
                  <c:v>37408</c:v>
                </c:pt>
                <c:pt idx="45">
                  <c:v>37500</c:v>
                </c:pt>
                <c:pt idx="46">
                  <c:v>37591</c:v>
                </c:pt>
                <c:pt idx="47">
                  <c:v>37681</c:v>
                </c:pt>
                <c:pt idx="48">
                  <c:v>37773</c:v>
                </c:pt>
                <c:pt idx="49">
                  <c:v>37865</c:v>
                </c:pt>
                <c:pt idx="50">
                  <c:v>37956</c:v>
                </c:pt>
                <c:pt idx="51">
                  <c:v>38047</c:v>
                </c:pt>
                <c:pt idx="52">
                  <c:v>38139</c:v>
                </c:pt>
                <c:pt idx="53">
                  <c:v>38231</c:v>
                </c:pt>
                <c:pt idx="54">
                  <c:v>38322</c:v>
                </c:pt>
                <c:pt idx="55">
                  <c:v>38412</c:v>
                </c:pt>
                <c:pt idx="56">
                  <c:v>38504</c:v>
                </c:pt>
                <c:pt idx="57">
                  <c:v>38596</c:v>
                </c:pt>
                <c:pt idx="58">
                  <c:v>38687</c:v>
                </c:pt>
                <c:pt idx="59">
                  <c:v>38777</c:v>
                </c:pt>
                <c:pt idx="60">
                  <c:v>38869</c:v>
                </c:pt>
                <c:pt idx="61">
                  <c:v>38961</c:v>
                </c:pt>
                <c:pt idx="62">
                  <c:v>39052</c:v>
                </c:pt>
                <c:pt idx="63">
                  <c:v>39142</c:v>
                </c:pt>
                <c:pt idx="64">
                  <c:v>39234</c:v>
                </c:pt>
                <c:pt idx="65">
                  <c:v>39326</c:v>
                </c:pt>
                <c:pt idx="66">
                  <c:v>39417</c:v>
                </c:pt>
                <c:pt idx="67">
                  <c:v>39508</c:v>
                </c:pt>
                <c:pt idx="68">
                  <c:v>39600</c:v>
                </c:pt>
                <c:pt idx="69">
                  <c:v>39692</c:v>
                </c:pt>
                <c:pt idx="70">
                  <c:v>39783</c:v>
                </c:pt>
                <c:pt idx="71">
                  <c:v>39873</c:v>
                </c:pt>
                <c:pt idx="72">
                  <c:v>39965</c:v>
                </c:pt>
                <c:pt idx="73">
                  <c:v>40057</c:v>
                </c:pt>
                <c:pt idx="74">
                  <c:v>40148</c:v>
                </c:pt>
                <c:pt idx="75">
                  <c:v>40238</c:v>
                </c:pt>
                <c:pt idx="76">
                  <c:v>40330</c:v>
                </c:pt>
                <c:pt idx="77">
                  <c:v>40422</c:v>
                </c:pt>
                <c:pt idx="78">
                  <c:v>40513</c:v>
                </c:pt>
                <c:pt idx="79">
                  <c:v>40603</c:v>
                </c:pt>
                <c:pt idx="80">
                  <c:v>40695</c:v>
                </c:pt>
                <c:pt idx="81">
                  <c:v>40787</c:v>
                </c:pt>
                <c:pt idx="82">
                  <c:v>40878</c:v>
                </c:pt>
                <c:pt idx="83">
                  <c:v>40969</c:v>
                </c:pt>
                <c:pt idx="84">
                  <c:v>41061</c:v>
                </c:pt>
                <c:pt idx="85">
                  <c:v>41153</c:v>
                </c:pt>
                <c:pt idx="86">
                  <c:v>41244</c:v>
                </c:pt>
                <c:pt idx="87">
                  <c:v>41334</c:v>
                </c:pt>
                <c:pt idx="88">
                  <c:v>41426</c:v>
                </c:pt>
                <c:pt idx="89">
                  <c:v>41518</c:v>
                </c:pt>
                <c:pt idx="90">
                  <c:v>41609</c:v>
                </c:pt>
                <c:pt idx="91">
                  <c:v>41699</c:v>
                </c:pt>
                <c:pt idx="92">
                  <c:v>41791</c:v>
                </c:pt>
                <c:pt idx="93">
                  <c:v>41883</c:v>
                </c:pt>
                <c:pt idx="94">
                  <c:v>41974</c:v>
                </c:pt>
                <c:pt idx="95">
                  <c:v>42064</c:v>
                </c:pt>
                <c:pt idx="96">
                  <c:v>42156</c:v>
                </c:pt>
                <c:pt idx="97">
                  <c:v>42248</c:v>
                </c:pt>
                <c:pt idx="98">
                  <c:v>42339</c:v>
                </c:pt>
                <c:pt idx="99">
                  <c:v>42430</c:v>
                </c:pt>
                <c:pt idx="100">
                  <c:v>42522</c:v>
                </c:pt>
                <c:pt idx="101">
                  <c:v>42614</c:v>
                </c:pt>
                <c:pt idx="102">
                  <c:v>42705</c:v>
                </c:pt>
                <c:pt idx="103">
                  <c:v>42795</c:v>
                </c:pt>
                <c:pt idx="104">
                  <c:v>42887</c:v>
                </c:pt>
              </c:numCache>
            </c:numRef>
          </c:cat>
          <c:val>
            <c:numRef>
              <c:f>Sheet18!$C$2:$C$106</c:f>
              <c:numCache>
                <c:formatCode>0%</c:formatCode>
                <c:ptCount val="105"/>
                <c:pt idx="0">
                  <c:v>-1.1299435028248588E-2</c:v>
                </c:pt>
                <c:pt idx="1">
                  <c:v>2.8571428571428571E-2</c:v>
                </c:pt>
                <c:pt idx="2">
                  <c:v>0.1111111111111111</c:v>
                </c:pt>
                <c:pt idx="3">
                  <c:v>9.5000000000000001E-2</c:v>
                </c:pt>
                <c:pt idx="4">
                  <c:v>4.5662100456621002E-3</c:v>
                </c:pt>
                <c:pt idx="5">
                  <c:v>-4.5454545454545456E-2</c:v>
                </c:pt>
                <c:pt idx="6">
                  <c:v>0.10952380952380952</c:v>
                </c:pt>
                <c:pt idx="7">
                  <c:v>-1.2875536480686695E-2</c:v>
                </c:pt>
                <c:pt idx="8">
                  <c:v>2.1739130434782608E-2</c:v>
                </c:pt>
                <c:pt idx="9">
                  <c:v>-1.276595744680851E-2</c:v>
                </c:pt>
                <c:pt idx="10">
                  <c:v>2.5862068965517241E-2</c:v>
                </c:pt>
                <c:pt idx="11">
                  <c:v>0</c:v>
                </c:pt>
                <c:pt idx="12">
                  <c:v>5.0420168067226892E-2</c:v>
                </c:pt>
                <c:pt idx="13">
                  <c:v>7.1999999999999995E-2</c:v>
                </c:pt>
                <c:pt idx="14">
                  <c:v>0</c:v>
                </c:pt>
                <c:pt idx="15">
                  <c:v>-1.8656716417910446E-2</c:v>
                </c:pt>
                <c:pt idx="16">
                  <c:v>2.6615969581749048E-2</c:v>
                </c:pt>
                <c:pt idx="17">
                  <c:v>-1.8518518518518517E-2</c:v>
                </c:pt>
                <c:pt idx="18">
                  <c:v>-4.1509433962264149E-2</c:v>
                </c:pt>
                <c:pt idx="19">
                  <c:v>1.5748031496062992E-2</c:v>
                </c:pt>
                <c:pt idx="20">
                  <c:v>-3.875968992248062E-3</c:v>
                </c:pt>
                <c:pt idx="21">
                  <c:v>3.1128404669260701E-2</c:v>
                </c:pt>
                <c:pt idx="22">
                  <c:v>1.8867924528301886E-2</c:v>
                </c:pt>
                <c:pt idx="23">
                  <c:v>5.5555555555555552E-2</c:v>
                </c:pt>
                <c:pt idx="24">
                  <c:v>5.2631578947368418E-2</c:v>
                </c:pt>
                <c:pt idx="25">
                  <c:v>6.6666666666666666E-2</c:v>
                </c:pt>
                <c:pt idx="26">
                  <c:v>2.1874999999999999E-2</c:v>
                </c:pt>
                <c:pt idx="27">
                  <c:v>3.3639143730886847E-2</c:v>
                </c:pt>
                <c:pt idx="28">
                  <c:v>8.8757396449704144E-3</c:v>
                </c:pt>
                <c:pt idx="29">
                  <c:v>-5.8651026392961877E-3</c:v>
                </c:pt>
                <c:pt idx="30">
                  <c:v>3.2448377581120944E-2</c:v>
                </c:pt>
                <c:pt idx="31">
                  <c:v>2.8571428571428571E-2</c:v>
                </c:pt>
                <c:pt idx="32">
                  <c:v>4.1666666666666664E-2</c:v>
                </c:pt>
                <c:pt idx="33">
                  <c:v>1.3333333333333334E-2</c:v>
                </c:pt>
                <c:pt idx="34">
                  <c:v>1.3157894736842105E-2</c:v>
                </c:pt>
                <c:pt idx="35">
                  <c:v>1.2987012987012988E-2</c:v>
                </c:pt>
                <c:pt idx="36">
                  <c:v>6.4102564102564097E-2</c:v>
                </c:pt>
                <c:pt idx="37">
                  <c:v>-6.0240963855421686E-2</c:v>
                </c:pt>
                <c:pt idx="38">
                  <c:v>4.3589743589743588E-2</c:v>
                </c:pt>
                <c:pt idx="39">
                  <c:v>7.3710073710073713E-3</c:v>
                </c:pt>
                <c:pt idx="40">
                  <c:v>0.10975609756097561</c:v>
                </c:pt>
                <c:pt idx="41">
                  <c:v>5.9340659340659338E-2</c:v>
                </c:pt>
                <c:pt idx="42">
                  <c:v>3.7344398340248962E-2</c:v>
                </c:pt>
                <c:pt idx="43">
                  <c:v>0.04</c:v>
                </c:pt>
                <c:pt idx="44">
                  <c:v>0.11923076923076924</c:v>
                </c:pt>
                <c:pt idx="45">
                  <c:v>3.0927835051546393E-2</c:v>
                </c:pt>
                <c:pt idx="46">
                  <c:v>1.6666666666666666E-2</c:v>
                </c:pt>
                <c:pt idx="47">
                  <c:v>9.8360655737704927E-3</c:v>
                </c:pt>
                <c:pt idx="48">
                  <c:v>2.2727272727272728E-2</c:v>
                </c:pt>
                <c:pt idx="49">
                  <c:v>8.7301587301587297E-2</c:v>
                </c:pt>
                <c:pt idx="50">
                  <c:v>-7.2992700729927005E-3</c:v>
                </c:pt>
                <c:pt idx="51">
                  <c:v>-2.2058823529411766E-2</c:v>
                </c:pt>
                <c:pt idx="52">
                  <c:v>-3.7593984962406013E-2</c:v>
                </c:pt>
                <c:pt idx="53">
                  <c:v>-1.5625E-2</c:v>
                </c:pt>
                <c:pt idx="54">
                  <c:v>0</c:v>
                </c:pt>
                <c:pt idx="55">
                  <c:v>7.9365079365079361E-3</c:v>
                </c:pt>
                <c:pt idx="56">
                  <c:v>-9.4488188976377951E-3</c:v>
                </c:pt>
                <c:pt idx="57">
                  <c:v>-3.4976152623211444E-2</c:v>
                </c:pt>
                <c:pt idx="58">
                  <c:v>2.1416803953871501E-2</c:v>
                </c:pt>
                <c:pt idx="59">
                  <c:v>-8.0645161290322578E-3</c:v>
                </c:pt>
                <c:pt idx="60">
                  <c:v>6.8292682926829273E-2</c:v>
                </c:pt>
                <c:pt idx="61">
                  <c:v>-3.1963470319634701E-2</c:v>
                </c:pt>
                <c:pt idx="62">
                  <c:v>3.7735849056603772E-2</c:v>
                </c:pt>
                <c:pt idx="63">
                  <c:v>-7.575757575757576E-3</c:v>
                </c:pt>
                <c:pt idx="64">
                  <c:v>3.8167938931297711E-2</c:v>
                </c:pt>
                <c:pt idx="65">
                  <c:v>2.2058823529411766E-2</c:v>
                </c:pt>
                <c:pt idx="66">
                  <c:v>5.7553956834532377E-2</c:v>
                </c:pt>
                <c:pt idx="67">
                  <c:v>-8.1632653061224497E-3</c:v>
                </c:pt>
                <c:pt idx="68">
                  <c:v>1.3717421124828531E-3</c:v>
                </c:pt>
                <c:pt idx="69">
                  <c:v>-1.3698630136986301E-2</c:v>
                </c:pt>
                <c:pt idx="70">
                  <c:v>-2.7777777777777776E-2</c:v>
                </c:pt>
                <c:pt idx="71">
                  <c:v>2.1428571428571429E-2</c:v>
                </c:pt>
                <c:pt idx="72">
                  <c:v>5.0349650349650353E-2</c:v>
                </c:pt>
                <c:pt idx="73">
                  <c:v>-6.6577896138482022E-3</c:v>
                </c:pt>
                <c:pt idx="74">
                  <c:v>9.2493297587131373E-2</c:v>
                </c:pt>
                <c:pt idx="75">
                  <c:v>4.0490797546012272E-2</c:v>
                </c:pt>
                <c:pt idx="76">
                  <c:v>5.4245283018867926E-2</c:v>
                </c:pt>
                <c:pt idx="77">
                  <c:v>-4.4742729306487695E-3</c:v>
                </c:pt>
                <c:pt idx="78">
                  <c:v>-7.8651685393258432E-3</c:v>
                </c:pt>
                <c:pt idx="79">
                  <c:v>-2.7180067950169876E-2</c:v>
                </c:pt>
                <c:pt idx="80">
                  <c:v>3.2596041909196738E-2</c:v>
                </c:pt>
                <c:pt idx="81">
                  <c:v>-9.0191657271702363E-3</c:v>
                </c:pt>
                <c:pt idx="82">
                  <c:v>-1.2514220705346985E-2</c:v>
                </c:pt>
                <c:pt idx="83">
                  <c:v>1.3824884792626729E-2</c:v>
                </c:pt>
                <c:pt idx="84">
                  <c:v>0</c:v>
                </c:pt>
                <c:pt idx="85">
                  <c:v>-5.681818181818182E-3</c:v>
                </c:pt>
                <c:pt idx="86">
                  <c:v>2.8571428571428571E-2</c:v>
                </c:pt>
                <c:pt idx="87">
                  <c:v>1.1111111111111112E-2</c:v>
                </c:pt>
                <c:pt idx="88">
                  <c:v>1.2087912087912088E-2</c:v>
                </c:pt>
                <c:pt idx="89">
                  <c:v>7.2747014115092296E-2</c:v>
                </c:pt>
                <c:pt idx="90">
                  <c:v>0.11437246963562753</c:v>
                </c:pt>
                <c:pt idx="91">
                  <c:v>4.4504995458673931E-2</c:v>
                </c:pt>
                <c:pt idx="92">
                  <c:v>0.08</c:v>
                </c:pt>
                <c:pt idx="93">
                  <c:v>4.6698872785829307E-2</c:v>
                </c:pt>
                <c:pt idx="94">
                  <c:v>3.8461538461538464E-3</c:v>
                </c:pt>
                <c:pt idx="95">
                  <c:v>7.2796934865900387E-2</c:v>
                </c:pt>
                <c:pt idx="96">
                  <c:v>0.09</c:v>
                </c:pt>
                <c:pt idx="97">
                  <c:v>3.2765399737876802E-2</c:v>
                </c:pt>
                <c:pt idx="98">
                  <c:v>-4.8223350253807105E-2</c:v>
                </c:pt>
                <c:pt idx="99">
                  <c:v>1.5333333333333332E-2</c:v>
                </c:pt>
                <c:pt idx="100">
                  <c:v>9.8489822718319103E-3</c:v>
                </c:pt>
                <c:pt idx="101">
                  <c:v>7.8023407022106634E-3</c:v>
                </c:pt>
                <c:pt idx="102">
                  <c:v>7.3548387096774193E-2</c:v>
                </c:pt>
                <c:pt idx="103">
                  <c:v>7.2716346153846159E-2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0-074F-9744-1E56CBBEB3B0}"/>
            </c:ext>
          </c:extLst>
        </c:ser>
        <c:ser>
          <c:idx val="1"/>
          <c:order val="1"/>
          <c:tx>
            <c:strRef>
              <c:f>Sheet18!$D$1</c:f>
              <c:strCache>
                <c:ptCount val="1"/>
                <c:pt idx="0">
                  <c:v>Strata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Sheet18!$A$2:$A$106</c:f>
              <c:numCache>
                <c:formatCode>mmm\-yy</c:formatCode>
                <c:ptCount val="105"/>
                <c:pt idx="0">
                  <c:v>33390</c:v>
                </c:pt>
                <c:pt idx="1">
                  <c:v>33482</c:v>
                </c:pt>
                <c:pt idx="2">
                  <c:v>33573</c:v>
                </c:pt>
                <c:pt idx="3">
                  <c:v>33664</c:v>
                </c:pt>
                <c:pt idx="4">
                  <c:v>33756</c:v>
                </c:pt>
                <c:pt idx="5">
                  <c:v>33848</c:v>
                </c:pt>
                <c:pt idx="6">
                  <c:v>33939</c:v>
                </c:pt>
                <c:pt idx="7">
                  <c:v>34029</c:v>
                </c:pt>
                <c:pt idx="8">
                  <c:v>34121</c:v>
                </c:pt>
                <c:pt idx="9">
                  <c:v>34213</c:v>
                </c:pt>
                <c:pt idx="10">
                  <c:v>34304</c:v>
                </c:pt>
                <c:pt idx="11">
                  <c:v>34394</c:v>
                </c:pt>
                <c:pt idx="12">
                  <c:v>34486</c:v>
                </c:pt>
                <c:pt idx="13">
                  <c:v>34578</c:v>
                </c:pt>
                <c:pt idx="14">
                  <c:v>34669</c:v>
                </c:pt>
                <c:pt idx="15">
                  <c:v>34759</c:v>
                </c:pt>
                <c:pt idx="16">
                  <c:v>34851</c:v>
                </c:pt>
                <c:pt idx="17">
                  <c:v>34943</c:v>
                </c:pt>
                <c:pt idx="18">
                  <c:v>35034</c:v>
                </c:pt>
                <c:pt idx="19">
                  <c:v>35125</c:v>
                </c:pt>
                <c:pt idx="20">
                  <c:v>35217</c:v>
                </c:pt>
                <c:pt idx="21">
                  <c:v>35309</c:v>
                </c:pt>
                <c:pt idx="22">
                  <c:v>35400</c:v>
                </c:pt>
                <c:pt idx="23">
                  <c:v>35490</c:v>
                </c:pt>
                <c:pt idx="24">
                  <c:v>35582</c:v>
                </c:pt>
                <c:pt idx="25">
                  <c:v>35674</c:v>
                </c:pt>
                <c:pt idx="26">
                  <c:v>35765</c:v>
                </c:pt>
                <c:pt idx="27">
                  <c:v>35855</c:v>
                </c:pt>
                <c:pt idx="28">
                  <c:v>35947</c:v>
                </c:pt>
                <c:pt idx="29">
                  <c:v>36039</c:v>
                </c:pt>
                <c:pt idx="30">
                  <c:v>36130</c:v>
                </c:pt>
                <c:pt idx="31">
                  <c:v>36220</c:v>
                </c:pt>
                <c:pt idx="32">
                  <c:v>36312</c:v>
                </c:pt>
                <c:pt idx="33">
                  <c:v>36404</c:v>
                </c:pt>
                <c:pt idx="34">
                  <c:v>36495</c:v>
                </c:pt>
                <c:pt idx="35">
                  <c:v>36586</c:v>
                </c:pt>
                <c:pt idx="36">
                  <c:v>36678</c:v>
                </c:pt>
                <c:pt idx="37">
                  <c:v>36770</c:v>
                </c:pt>
                <c:pt idx="38">
                  <c:v>36861</c:v>
                </c:pt>
                <c:pt idx="39">
                  <c:v>36951</c:v>
                </c:pt>
                <c:pt idx="40">
                  <c:v>37043</c:v>
                </c:pt>
                <c:pt idx="41">
                  <c:v>37135</c:v>
                </c:pt>
                <c:pt idx="42">
                  <c:v>37226</c:v>
                </c:pt>
                <c:pt idx="43">
                  <c:v>37316</c:v>
                </c:pt>
                <c:pt idx="44">
                  <c:v>37408</c:v>
                </c:pt>
                <c:pt idx="45">
                  <c:v>37500</c:v>
                </c:pt>
                <c:pt idx="46">
                  <c:v>37591</c:v>
                </c:pt>
                <c:pt idx="47">
                  <c:v>37681</c:v>
                </c:pt>
                <c:pt idx="48">
                  <c:v>37773</c:v>
                </c:pt>
                <c:pt idx="49">
                  <c:v>37865</c:v>
                </c:pt>
                <c:pt idx="50">
                  <c:v>37956</c:v>
                </c:pt>
                <c:pt idx="51">
                  <c:v>38047</c:v>
                </c:pt>
                <c:pt idx="52">
                  <c:v>38139</c:v>
                </c:pt>
                <c:pt idx="53">
                  <c:v>38231</c:v>
                </c:pt>
                <c:pt idx="54">
                  <c:v>38322</c:v>
                </c:pt>
                <c:pt idx="55">
                  <c:v>38412</c:v>
                </c:pt>
                <c:pt idx="56">
                  <c:v>38504</c:v>
                </c:pt>
                <c:pt idx="57">
                  <c:v>38596</c:v>
                </c:pt>
                <c:pt idx="58">
                  <c:v>38687</c:v>
                </c:pt>
                <c:pt idx="59">
                  <c:v>38777</c:v>
                </c:pt>
                <c:pt idx="60">
                  <c:v>38869</c:v>
                </c:pt>
                <c:pt idx="61">
                  <c:v>38961</c:v>
                </c:pt>
                <c:pt idx="62">
                  <c:v>39052</c:v>
                </c:pt>
                <c:pt idx="63">
                  <c:v>39142</c:v>
                </c:pt>
                <c:pt idx="64">
                  <c:v>39234</c:v>
                </c:pt>
                <c:pt idx="65">
                  <c:v>39326</c:v>
                </c:pt>
                <c:pt idx="66">
                  <c:v>39417</c:v>
                </c:pt>
                <c:pt idx="67">
                  <c:v>39508</c:v>
                </c:pt>
                <c:pt idx="68">
                  <c:v>39600</c:v>
                </c:pt>
                <c:pt idx="69">
                  <c:v>39692</c:v>
                </c:pt>
                <c:pt idx="70">
                  <c:v>39783</c:v>
                </c:pt>
                <c:pt idx="71">
                  <c:v>39873</c:v>
                </c:pt>
                <c:pt idx="72">
                  <c:v>39965</c:v>
                </c:pt>
                <c:pt idx="73">
                  <c:v>40057</c:v>
                </c:pt>
                <c:pt idx="74">
                  <c:v>40148</c:v>
                </c:pt>
                <c:pt idx="75">
                  <c:v>40238</c:v>
                </c:pt>
                <c:pt idx="76">
                  <c:v>40330</c:v>
                </c:pt>
                <c:pt idx="77">
                  <c:v>40422</c:v>
                </c:pt>
                <c:pt idx="78">
                  <c:v>40513</c:v>
                </c:pt>
                <c:pt idx="79">
                  <c:v>40603</c:v>
                </c:pt>
                <c:pt idx="80">
                  <c:v>40695</c:v>
                </c:pt>
                <c:pt idx="81">
                  <c:v>40787</c:v>
                </c:pt>
                <c:pt idx="82">
                  <c:v>40878</c:v>
                </c:pt>
                <c:pt idx="83">
                  <c:v>40969</c:v>
                </c:pt>
                <c:pt idx="84">
                  <c:v>41061</c:v>
                </c:pt>
                <c:pt idx="85">
                  <c:v>41153</c:v>
                </c:pt>
                <c:pt idx="86">
                  <c:v>41244</c:v>
                </c:pt>
                <c:pt idx="87">
                  <c:v>41334</c:v>
                </c:pt>
                <c:pt idx="88">
                  <c:v>41426</c:v>
                </c:pt>
                <c:pt idx="89">
                  <c:v>41518</c:v>
                </c:pt>
                <c:pt idx="90">
                  <c:v>41609</c:v>
                </c:pt>
                <c:pt idx="91">
                  <c:v>41699</c:v>
                </c:pt>
                <c:pt idx="92">
                  <c:v>41791</c:v>
                </c:pt>
                <c:pt idx="93">
                  <c:v>41883</c:v>
                </c:pt>
                <c:pt idx="94">
                  <c:v>41974</c:v>
                </c:pt>
                <c:pt idx="95">
                  <c:v>42064</c:v>
                </c:pt>
                <c:pt idx="96">
                  <c:v>42156</c:v>
                </c:pt>
                <c:pt idx="97">
                  <c:v>42248</c:v>
                </c:pt>
                <c:pt idx="98">
                  <c:v>42339</c:v>
                </c:pt>
                <c:pt idx="99">
                  <c:v>42430</c:v>
                </c:pt>
                <c:pt idx="100">
                  <c:v>42522</c:v>
                </c:pt>
                <c:pt idx="101">
                  <c:v>42614</c:v>
                </c:pt>
                <c:pt idx="102">
                  <c:v>42705</c:v>
                </c:pt>
                <c:pt idx="103">
                  <c:v>42795</c:v>
                </c:pt>
                <c:pt idx="104">
                  <c:v>42887</c:v>
                </c:pt>
              </c:numCache>
            </c:numRef>
          </c:cat>
          <c:val>
            <c:numRef>
              <c:f>Sheet18!$D$2:$D$106</c:f>
              <c:numCache>
                <c:formatCode>0%</c:formatCode>
                <c:ptCount val="105"/>
                <c:pt idx="3">
                  <c:v>-1.9607843137254902E-2</c:v>
                </c:pt>
                <c:pt idx="4">
                  <c:v>2.6666666666666668E-2</c:v>
                </c:pt>
                <c:pt idx="5">
                  <c:v>3.2467532467532464E-2</c:v>
                </c:pt>
                <c:pt idx="6">
                  <c:v>6.2893081761006293E-3</c:v>
                </c:pt>
                <c:pt idx="7">
                  <c:v>2.5000000000000001E-2</c:v>
                </c:pt>
                <c:pt idx="8">
                  <c:v>-9.1463414634146339E-2</c:v>
                </c:pt>
                <c:pt idx="9">
                  <c:v>2.6845637583892617E-2</c:v>
                </c:pt>
                <c:pt idx="10">
                  <c:v>0</c:v>
                </c:pt>
                <c:pt idx="11">
                  <c:v>0</c:v>
                </c:pt>
                <c:pt idx="12">
                  <c:v>2.6143790849673203E-2</c:v>
                </c:pt>
                <c:pt idx="13">
                  <c:v>4.4585987261146494E-2</c:v>
                </c:pt>
                <c:pt idx="14">
                  <c:v>-3.048780487804878E-2</c:v>
                </c:pt>
                <c:pt idx="15">
                  <c:v>2.5157232704402517E-2</c:v>
                </c:pt>
                <c:pt idx="16">
                  <c:v>-1.8404907975460124E-2</c:v>
                </c:pt>
                <c:pt idx="17">
                  <c:v>2.5000000000000001E-2</c:v>
                </c:pt>
                <c:pt idx="18">
                  <c:v>-4.878048780487805E-2</c:v>
                </c:pt>
                <c:pt idx="19">
                  <c:v>3.8461538461538464E-2</c:v>
                </c:pt>
                <c:pt idx="20">
                  <c:v>-1.2345679012345678E-2</c:v>
                </c:pt>
                <c:pt idx="21">
                  <c:v>6.25E-2</c:v>
                </c:pt>
                <c:pt idx="22">
                  <c:v>0</c:v>
                </c:pt>
                <c:pt idx="23">
                  <c:v>2.9411764705882353E-2</c:v>
                </c:pt>
                <c:pt idx="24">
                  <c:v>0.12</c:v>
                </c:pt>
                <c:pt idx="25">
                  <c:v>5.6122448979591837E-2</c:v>
                </c:pt>
                <c:pt idx="26">
                  <c:v>3.3816425120772944E-2</c:v>
                </c:pt>
                <c:pt idx="27">
                  <c:v>-9.8130841121495324E-2</c:v>
                </c:pt>
                <c:pt idx="28">
                  <c:v>0.11917098445595854</c:v>
                </c:pt>
                <c:pt idx="29">
                  <c:v>-7.407407407407407E-2</c:v>
                </c:pt>
                <c:pt idx="30">
                  <c:v>0.125</c:v>
                </c:pt>
                <c:pt idx="31">
                  <c:v>0</c:v>
                </c:pt>
                <c:pt idx="32">
                  <c:v>8.8888888888888889E-3</c:v>
                </c:pt>
                <c:pt idx="33">
                  <c:v>-2.643171806167401E-2</c:v>
                </c:pt>
                <c:pt idx="34">
                  <c:v>4.072398190045249E-2</c:v>
                </c:pt>
                <c:pt idx="35">
                  <c:v>7.8260869565217397E-2</c:v>
                </c:pt>
                <c:pt idx="36">
                  <c:v>-1.2096774193548387E-2</c:v>
                </c:pt>
                <c:pt idx="37">
                  <c:v>-2.0408163265306121E-2</c:v>
                </c:pt>
                <c:pt idx="38">
                  <c:v>6.25E-2</c:v>
                </c:pt>
                <c:pt idx="39">
                  <c:v>2.3529411764705882E-2</c:v>
                </c:pt>
                <c:pt idx="40">
                  <c:v>0.14559386973180077</c:v>
                </c:pt>
                <c:pt idx="41">
                  <c:v>-1.3377926421404682E-2</c:v>
                </c:pt>
                <c:pt idx="42">
                  <c:v>6.7796610169491525E-2</c:v>
                </c:pt>
                <c:pt idx="43">
                  <c:v>-1.5873015873015872E-2</c:v>
                </c:pt>
                <c:pt idx="44">
                  <c:v>0.14838709677419354</c:v>
                </c:pt>
                <c:pt idx="45">
                  <c:v>9.5505617977528087E-2</c:v>
                </c:pt>
                <c:pt idx="46">
                  <c:v>-7.179487179487179E-2</c:v>
                </c:pt>
                <c:pt idx="47">
                  <c:v>-3.3149171270718231E-2</c:v>
                </c:pt>
                <c:pt idx="48">
                  <c:v>-1.4285714285714285E-2</c:v>
                </c:pt>
                <c:pt idx="49">
                  <c:v>8.6956521739130432E-2</c:v>
                </c:pt>
                <c:pt idx="50">
                  <c:v>3.7333333333333336E-2</c:v>
                </c:pt>
                <c:pt idx="51">
                  <c:v>-7.4550128534704371E-2</c:v>
                </c:pt>
                <c:pt idx="52">
                  <c:v>-2.7777777777777776E-2</c:v>
                </c:pt>
                <c:pt idx="53">
                  <c:v>-1.4285714285714285E-2</c:v>
                </c:pt>
                <c:pt idx="54">
                  <c:v>1.4492753623188406E-2</c:v>
                </c:pt>
                <c:pt idx="55">
                  <c:v>5.7142857142857141E-2</c:v>
                </c:pt>
                <c:pt idx="56">
                  <c:v>-5.4054054054054057E-2</c:v>
                </c:pt>
                <c:pt idx="57">
                  <c:v>5.7142857142857141E-2</c:v>
                </c:pt>
                <c:pt idx="58">
                  <c:v>1.3513513513513514E-2</c:v>
                </c:pt>
                <c:pt idx="59">
                  <c:v>5.3333333333333337E-2</c:v>
                </c:pt>
                <c:pt idx="60">
                  <c:v>-2.2784810126582278E-2</c:v>
                </c:pt>
                <c:pt idx="61">
                  <c:v>-0.12176165803108809</c:v>
                </c:pt>
                <c:pt idx="62">
                  <c:v>0.10619469026548672</c:v>
                </c:pt>
                <c:pt idx="63">
                  <c:v>-6.6666666666666666E-2</c:v>
                </c:pt>
                <c:pt idx="64">
                  <c:v>0.14285714285714285</c:v>
                </c:pt>
                <c:pt idx="65">
                  <c:v>0</c:v>
                </c:pt>
                <c:pt idx="66">
                  <c:v>0</c:v>
                </c:pt>
                <c:pt idx="67">
                  <c:v>-2.75E-2</c:v>
                </c:pt>
                <c:pt idx="68">
                  <c:v>4.1131105398457581E-2</c:v>
                </c:pt>
                <c:pt idx="69">
                  <c:v>-3.7037037037037035E-2</c:v>
                </c:pt>
                <c:pt idx="70">
                  <c:v>-2.564102564102564E-2</c:v>
                </c:pt>
                <c:pt idx="71">
                  <c:v>0.10526315789473684</c:v>
                </c:pt>
                <c:pt idx="72">
                  <c:v>2.3809523809523808E-2</c:v>
                </c:pt>
                <c:pt idx="73">
                  <c:v>-2.0930232558139535E-2</c:v>
                </c:pt>
                <c:pt idx="74">
                  <c:v>4.5130641330166268E-2</c:v>
                </c:pt>
                <c:pt idx="75">
                  <c:v>0.10227272727272728</c:v>
                </c:pt>
                <c:pt idx="76">
                  <c:v>2.0618556701030927E-2</c:v>
                </c:pt>
                <c:pt idx="77">
                  <c:v>-7.6767676767676762E-2</c:v>
                </c:pt>
                <c:pt idx="78">
                  <c:v>5.0328227571115977E-2</c:v>
                </c:pt>
                <c:pt idx="79">
                  <c:v>-6.8750000000000006E-2</c:v>
                </c:pt>
                <c:pt idx="80">
                  <c:v>6.2639821029082776E-2</c:v>
                </c:pt>
                <c:pt idx="81">
                  <c:v>0.10526315789473684</c:v>
                </c:pt>
                <c:pt idx="82">
                  <c:v>-3.8095238095238099E-2</c:v>
                </c:pt>
                <c:pt idx="83">
                  <c:v>6.9306930693069313E-2</c:v>
                </c:pt>
                <c:pt idx="84">
                  <c:v>3.3333333333333333E-2</c:v>
                </c:pt>
                <c:pt idx="85">
                  <c:v>-6.8100358422939072E-2</c:v>
                </c:pt>
                <c:pt idx="86">
                  <c:v>4.807692307692308E-2</c:v>
                </c:pt>
                <c:pt idx="87">
                  <c:v>0</c:v>
                </c:pt>
                <c:pt idx="88">
                  <c:v>8.2568807339449546E-2</c:v>
                </c:pt>
                <c:pt idx="89">
                  <c:v>1.1864406779661017E-2</c:v>
                </c:pt>
                <c:pt idx="90">
                  <c:v>7.2026800670016752E-2</c:v>
                </c:pt>
                <c:pt idx="91">
                  <c:v>1.5625E-2</c:v>
                </c:pt>
                <c:pt idx="92">
                  <c:v>0</c:v>
                </c:pt>
                <c:pt idx="93">
                  <c:v>-0.02</c:v>
                </c:pt>
                <c:pt idx="94">
                  <c:v>2.0408163265306121E-2</c:v>
                </c:pt>
                <c:pt idx="95">
                  <c:v>1.5384615384615385E-2</c:v>
                </c:pt>
                <c:pt idx="96">
                  <c:v>0.10454545454545454</c:v>
                </c:pt>
                <c:pt idx="97">
                  <c:v>-9.6021947873799734E-3</c:v>
                </c:pt>
                <c:pt idx="98">
                  <c:v>-9.833795013850416E-2</c:v>
                </c:pt>
                <c:pt idx="99">
                  <c:v>1.8433179723502304E-2</c:v>
                </c:pt>
                <c:pt idx="100">
                  <c:v>0.12368024132730016</c:v>
                </c:pt>
                <c:pt idx="101">
                  <c:v>-1.8791946308724831E-2</c:v>
                </c:pt>
                <c:pt idx="102">
                  <c:v>-1.5047879616963064E-2</c:v>
                </c:pt>
                <c:pt idx="103">
                  <c:v>5.5555555555555558E-3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0-074F-9744-1E56CBBEB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6686048"/>
        <c:axId val="1598629008"/>
      </c:lineChart>
      <c:dateAx>
        <c:axId val="1716686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629008"/>
        <c:crosses val="autoZero"/>
        <c:auto val="1"/>
        <c:lblOffset val="100"/>
        <c:baseTimeUnit val="months"/>
      </c:dateAx>
      <c:valAx>
        <c:axId val="159862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8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Sheet18!$I$6:$K$6</c:f>
              <c:strCache>
                <c:ptCount val="3"/>
                <c:pt idx="0">
                  <c:v>All Dwelling</c:v>
                </c:pt>
                <c:pt idx="1">
                  <c:v>Non Strata</c:v>
                </c:pt>
                <c:pt idx="2">
                  <c:v>Strata</c:v>
                </c:pt>
              </c:strCache>
            </c:strRef>
          </c:cat>
          <c:val>
            <c:numRef>
              <c:f>Sheet18!$I$7:$K$7</c:f>
              <c:numCache>
                <c:formatCode>General</c:formatCode>
                <c:ptCount val="3"/>
                <c:pt idx="0">
                  <c:v>0.7137647094362366</c:v>
                </c:pt>
                <c:pt idx="1">
                  <c:v>0.37809188887588657</c:v>
                </c:pt>
                <c:pt idx="2">
                  <c:v>0.57249190352463031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1-E947-AEF6-882625167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58575"/>
        <c:axId val="1527236688"/>
      </c:barChart>
      <c:catAx>
        <c:axId val="5435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236688"/>
        <c:crosses val="autoZero"/>
        <c:auto val="1"/>
        <c:lblAlgn val="ctr"/>
        <c:lblOffset val="100"/>
        <c:noMultiLvlLbl val="0"/>
      </c:catAx>
      <c:valAx>
        <c:axId val="15272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Sheet18!$I$22:$K$22</c:f>
              <c:strCache>
                <c:ptCount val="3"/>
                <c:pt idx="0">
                  <c:v>All Dwelling</c:v>
                </c:pt>
                <c:pt idx="1">
                  <c:v>Non Strata</c:v>
                </c:pt>
                <c:pt idx="2">
                  <c:v>Strata</c:v>
                </c:pt>
              </c:strCache>
            </c:strRef>
          </c:cat>
          <c:val>
            <c:numRef>
              <c:f>Sheet18!$I$23:$K$23</c:f>
              <c:numCache>
                <c:formatCode>General</c:formatCode>
                <c:ptCount val="3"/>
                <c:pt idx="0">
                  <c:v>3.0420362423915481</c:v>
                </c:pt>
                <c:pt idx="1">
                  <c:v>5.5885441161513416</c:v>
                </c:pt>
                <c:pt idx="2">
                  <c:v>3.0664526177204605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A-9746-AB87-76C66BDE7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5817200"/>
        <c:axId val="1714562368"/>
      </c:barChart>
      <c:catAx>
        <c:axId val="188581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62368"/>
        <c:crosses val="autoZero"/>
        <c:auto val="1"/>
        <c:lblAlgn val="ctr"/>
        <c:lblOffset val="100"/>
        <c:noMultiLvlLbl val="0"/>
      </c:catAx>
      <c:valAx>
        <c:axId val="17145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1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08377077865267"/>
          <c:y val="0.19020851560221635"/>
          <c:w val="0.75543022747156607"/>
          <c:h val="0.720948891805191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Sheet18!$J$16:$K$16</c:f>
              <c:strCache>
                <c:ptCount val="2"/>
                <c:pt idx="0">
                  <c:v>Ryde</c:v>
                </c:pt>
                <c:pt idx="1">
                  <c:v>Greater Sydney</c:v>
                </c:pt>
              </c:strCache>
            </c:strRef>
          </c:cat>
          <c:val>
            <c:numRef>
              <c:f>Sheet18!$J$17:$K$17</c:f>
              <c:numCache>
                <c:formatCode>General</c:formatCode>
                <c:ptCount val="2"/>
                <c:pt idx="0">
                  <c:v>3.3216938125983093</c:v>
                </c:pt>
                <c:pt idx="1">
                  <c:v>3.6703661636615892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6-AA4A-BEF3-F8A4D4B29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4419584"/>
        <c:axId val="1926306576"/>
      </c:barChart>
      <c:catAx>
        <c:axId val="171441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306576"/>
        <c:crosses val="autoZero"/>
        <c:auto val="1"/>
        <c:lblAlgn val="ctr"/>
        <c:lblOffset val="100"/>
        <c:noMultiLvlLbl val="0"/>
      </c:catAx>
      <c:valAx>
        <c:axId val="192630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1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Market Volatility</a:t>
            </a:r>
            <a:r>
              <a:rPr lang="en-GB" baseline="0"/>
              <a:t> (1991-2017)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Sheet16!$K$6</c:f>
              <c:strCache>
                <c:ptCount val="1"/>
                <c:pt idx="0">
                  <c:v>Ryde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Sheet16!$L$5:$N$5</c:f>
              <c:strCache>
                <c:ptCount val="3"/>
                <c:pt idx="0">
                  <c:v>All Dwelling</c:v>
                </c:pt>
                <c:pt idx="1">
                  <c:v>Non Strata</c:v>
                </c:pt>
                <c:pt idx="2">
                  <c:v>Strata</c:v>
                </c:pt>
              </c:strCache>
            </c:strRef>
          </c:cat>
          <c:val>
            <c:numRef>
              <c:f>Sheet16!$L$6:$N$6</c:f>
              <c:numCache>
                <c:formatCode>0.00</c:formatCode>
                <c:ptCount val="3"/>
                <c:pt idx="0">
                  <c:v>9.4722547440594802</c:v>
                </c:pt>
                <c:pt idx="1">
                  <c:v>18.351363515030275</c:v>
                </c:pt>
                <c:pt idx="2">
                  <c:v>18.380384616204669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8-6F44-8F1F-2D190A36C04C}"/>
            </c:ext>
          </c:extLst>
        </c:ser>
        <c:ser>
          <c:idx val="1"/>
          <c:order val="1"/>
          <c:tx>
            <c:strRef>
              <c:f>Sheet16!$K$7</c:f>
              <c:strCache>
                <c:ptCount val="1"/>
                <c:pt idx="0">
                  <c:v>Greater Sydney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Sheet16!$L$5:$N$5</c:f>
              <c:strCache>
                <c:ptCount val="3"/>
                <c:pt idx="0">
                  <c:v>All Dwelling</c:v>
                </c:pt>
                <c:pt idx="1">
                  <c:v>Non Strata</c:v>
                </c:pt>
                <c:pt idx="2">
                  <c:v>Strata</c:v>
                </c:pt>
              </c:strCache>
            </c:strRef>
          </c:cat>
          <c:val>
            <c:numRef>
              <c:f>Sheet16!$L$7:$N$7</c:f>
              <c:numCache>
                <c:formatCode>0.00</c:formatCode>
                <c:ptCount val="3"/>
                <c:pt idx="0">
                  <c:v>18.140906188497915</c:v>
                </c:pt>
                <c:pt idx="1">
                  <c:v>18.795931193502149</c:v>
                </c:pt>
                <c:pt idx="2">
                  <c:v>4.3200763775346669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8-6F44-8F1F-2D190A36C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517504"/>
        <c:axId val="1600116336"/>
      </c:barChart>
      <c:catAx>
        <c:axId val="159951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16336"/>
        <c:crosses val="autoZero"/>
        <c:auto val="1"/>
        <c:lblAlgn val="ctr"/>
        <c:lblOffset val="100"/>
        <c:noMultiLvlLbl val="0"/>
      </c:catAx>
      <c:valAx>
        <c:axId val="160011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5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Market</a:t>
            </a:r>
            <a:r>
              <a:rPr lang="en-GB" baseline="0"/>
              <a:t> Volatility for All Dwelling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Sheet16!$C$3</c:f>
              <c:strCache>
                <c:ptCount val="1"/>
                <c:pt idx="0">
                  <c:v>Ryde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Sheet16!$B$4:$B$109</c:f>
              <c:numCache>
                <c:formatCode>mmm\-yy</c:formatCode>
                <c:ptCount val="106"/>
                <c:pt idx="0">
                  <c:v>33298</c:v>
                </c:pt>
                <c:pt idx="1">
                  <c:v>33390</c:v>
                </c:pt>
                <c:pt idx="2">
                  <c:v>33482</c:v>
                </c:pt>
                <c:pt idx="3">
                  <c:v>33573</c:v>
                </c:pt>
                <c:pt idx="4">
                  <c:v>33664</c:v>
                </c:pt>
                <c:pt idx="5">
                  <c:v>33756</c:v>
                </c:pt>
                <c:pt idx="6">
                  <c:v>33848</c:v>
                </c:pt>
                <c:pt idx="7">
                  <c:v>33939</c:v>
                </c:pt>
                <c:pt idx="8">
                  <c:v>34029</c:v>
                </c:pt>
                <c:pt idx="9">
                  <c:v>34121</c:v>
                </c:pt>
                <c:pt idx="10">
                  <c:v>34213</c:v>
                </c:pt>
                <c:pt idx="11">
                  <c:v>34304</c:v>
                </c:pt>
                <c:pt idx="12">
                  <c:v>34394</c:v>
                </c:pt>
                <c:pt idx="13">
                  <c:v>34486</c:v>
                </c:pt>
                <c:pt idx="14">
                  <c:v>34578</c:v>
                </c:pt>
                <c:pt idx="15">
                  <c:v>34669</c:v>
                </c:pt>
                <c:pt idx="16">
                  <c:v>34759</c:v>
                </c:pt>
                <c:pt idx="17">
                  <c:v>34851</c:v>
                </c:pt>
                <c:pt idx="18">
                  <c:v>34943</c:v>
                </c:pt>
                <c:pt idx="19">
                  <c:v>35034</c:v>
                </c:pt>
                <c:pt idx="20">
                  <c:v>35125</c:v>
                </c:pt>
                <c:pt idx="21">
                  <c:v>35217</c:v>
                </c:pt>
                <c:pt idx="22">
                  <c:v>35309</c:v>
                </c:pt>
                <c:pt idx="23">
                  <c:v>35400</c:v>
                </c:pt>
                <c:pt idx="24">
                  <c:v>35490</c:v>
                </c:pt>
                <c:pt idx="25">
                  <c:v>35582</c:v>
                </c:pt>
                <c:pt idx="26">
                  <c:v>35674</c:v>
                </c:pt>
                <c:pt idx="27">
                  <c:v>35765</c:v>
                </c:pt>
                <c:pt idx="28">
                  <c:v>35855</c:v>
                </c:pt>
                <c:pt idx="29">
                  <c:v>35947</c:v>
                </c:pt>
                <c:pt idx="30">
                  <c:v>36039</c:v>
                </c:pt>
                <c:pt idx="31">
                  <c:v>36130</c:v>
                </c:pt>
                <c:pt idx="32">
                  <c:v>36220</c:v>
                </c:pt>
                <c:pt idx="33">
                  <c:v>36312</c:v>
                </c:pt>
                <c:pt idx="34">
                  <c:v>36404</c:v>
                </c:pt>
                <c:pt idx="35">
                  <c:v>36495</c:v>
                </c:pt>
                <c:pt idx="36">
                  <c:v>36586</c:v>
                </c:pt>
                <c:pt idx="37">
                  <c:v>36678</c:v>
                </c:pt>
                <c:pt idx="38">
                  <c:v>36770</c:v>
                </c:pt>
                <c:pt idx="39">
                  <c:v>36861</c:v>
                </c:pt>
                <c:pt idx="40">
                  <c:v>36951</c:v>
                </c:pt>
                <c:pt idx="41">
                  <c:v>37043</c:v>
                </c:pt>
                <c:pt idx="42">
                  <c:v>37135</c:v>
                </c:pt>
                <c:pt idx="43">
                  <c:v>37226</c:v>
                </c:pt>
                <c:pt idx="44">
                  <c:v>37316</c:v>
                </c:pt>
                <c:pt idx="45">
                  <c:v>37408</c:v>
                </c:pt>
                <c:pt idx="46">
                  <c:v>37500</c:v>
                </c:pt>
                <c:pt idx="47">
                  <c:v>37591</c:v>
                </c:pt>
                <c:pt idx="48">
                  <c:v>37681</c:v>
                </c:pt>
                <c:pt idx="49">
                  <c:v>37773</c:v>
                </c:pt>
                <c:pt idx="50">
                  <c:v>37865</c:v>
                </c:pt>
                <c:pt idx="51">
                  <c:v>37956</c:v>
                </c:pt>
                <c:pt idx="52">
                  <c:v>38047</c:v>
                </c:pt>
                <c:pt idx="53">
                  <c:v>38139</c:v>
                </c:pt>
                <c:pt idx="54">
                  <c:v>38231</c:v>
                </c:pt>
                <c:pt idx="55">
                  <c:v>38322</c:v>
                </c:pt>
                <c:pt idx="56">
                  <c:v>38412</c:v>
                </c:pt>
                <c:pt idx="57">
                  <c:v>38504</c:v>
                </c:pt>
                <c:pt idx="58">
                  <c:v>38596</c:v>
                </c:pt>
                <c:pt idx="59">
                  <c:v>38687</c:v>
                </c:pt>
                <c:pt idx="60">
                  <c:v>38777</c:v>
                </c:pt>
                <c:pt idx="61">
                  <c:v>38869</c:v>
                </c:pt>
                <c:pt idx="62">
                  <c:v>38961</c:v>
                </c:pt>
                <c:pt idx="63">
                  <c:v>39052</c:v>
                </c:pt>
                <c:pt idx="64">
                  <c:v>39142</c:v>
                </c:pt>
                <c:pt idx="65">
                  <c:v>39234</c:v>
                </c:pt>
                <c:pt idx="66">
                  <c:v>39326</c:v>
                </c:pt>
                <c:pt idx="67">
                  <c:v>39417</c:v>
                </c:pt>
                <c:pt idx="68">
                  <c:v>39508</c:v>
                </c:pt>
                <c:pt idx="69">
                  <c:v>39600</c:v>
                </c:pt>
                <c:pt idx="70">
                  <c:v>39692</c:v>
                </c:pt>
                <c:pt idx="71">
                  <c:v>39783</c:v>
                </c:pt>
                <c:pt idx="72">
                  <c:v>39873</c:v>
                </c:pt>
                <c:pt idx="73">
                  <c:v>39965</c:v>
                </c:pt>
                <c:pt idx="74">
                  <c:v>40057</c:v>
                </c:pt>
                <c:pt idx="75">
                  <c:v>40148</c:v>
                </c:pt>
                <c:pt idx="76">
                  <c:v>40238</c:v>
                </c:pt>
                <c:pt idx="77">
                  <c:v>40330</c:v>
                </c:pt>
                <c:pt idx="78">
                  <c:v>40422</c:v>
                </c:pt>
                <c:pt idx="79">
                  <c:v>40513</c:v>
                </c:pt>
                <c:pt idx="80">
                  <c:v>40603</c:v>
                </c:pt>
                <c:pt idx="81">
                  <c:v>40695</c:v>
                </c:pt>
                <c:pt idx="82">
                  <c:v>40787</c:v>
                </c:pt>
                <c:pt idx="83">
                  <c:v>40878</c:v>
                </c:pt>
                <c:pt idx="84">
                  <c:v>40969</c:v>
                </c:pt>
                <c:pt idx="85">
                  <c:v>41061</c:v>
                </c:pt>
                <c:pt idx="86">
                  <c:v>41153</c:v>
                </c:pt>
                <c:pt idx="87">
                  <c:v>41244</c:v>
                </c:pt>
                <c:pt idx="88">
                  <c:v>41334</c:v>
                </c:pt>
                <c:pt idx="89">
                  <c:v>41426</c:v>
                </c:pt>
                <c:pt idx="90">
                  <c:v>41518</c:v>
                </c:pt>
                <c:pt idx="91">
                  <c:v>41609</c:v>
                </c:pt>
                <c:pt idx="92">
                  <c:v>41699</c:v>
                </c:pt>
                <c:pt idx="93">
                  <c:v>41791</c:v>
                </c:pt>
                <c:pt idx="94">
                  <c:v>41883</c:v>
                </c:pt>
                <c:pt idx="95">
                  <c:v>41974</c:v>
                </c:pt>
                <c:pt idx="96">
                  <c:v>42064</c:v>
                </c:pt>
                <c:pt idx="97">
                  <c:v>42156</c:v>
                </c:pt>
                <c:pt idx="98">
                  <c:v>42248</c:v>
                </c:pt>
                <c:pt idx="99">
                  <c:v>42339</c:v>
                </c:pt>
                <c:pt idx="100">
                  <c:v>42430</c:v>
                </c:pt>
                <c:pt idx="101">
                  <c:v>42522</c:v>
                </c:pt>
                <c:pt idx="102">
                  <c:v>42614</c:v>
                </c:pt>
                <c:pt idx="103">
                  <c:v>42705</c:v>
                </c:pt>
                <c:pt idx="104">
                  <c:v>42795</c:v>
                </c:pt>
                <c:pt idx="105">
                  <c:v>42887</c:v>
                </c:pt>
              </c:numCache>
            </c:numRef>
          </c:cat>
          <c:val>
            <c:numRef>
              <c:f>Sheet16!$C$4:$C$109</c:f>
              <c:numCache>
                <c:formatCode>General</c:formatCode>
                <c:ptCount val="106"/>
                <c:pt idx="1">
                  <c:v>7.1712065013216975E-2</c:v>
                </c:pt>
                <c:pt idx="2">
                  <c:v>7.2021027667492687E-2</c:v>
                </c:pt>
                <c:pt idx="3">
                  <c:v>7.2365964423992818E-2</c:v>
                </c:pt>
                <c:pt idx="4">
                  <c:v>7.2716993230390173E-2</c:v>
                </c:pt>
                <c:pt idx="5">
                  <c:v>7.2998335463343833E-2</c:v>
                </c:pt>
                <c:pt idx="6">
                  <c:v>7.3365825327062692E-2</c:v>
                </c:pt>
                <c:pt idx="7">
                  <c:v>7.3735116755845265E-2</c:v>
                </c:pt>
                <c:pt idx="8">
                  <c:v>7.4072861202508736E-2</c:v>
                </c:pt>
                <c:pt idx="9">
                  <c:v>7.4377547041165601E-2</c:v>
                </c:pt>
                <c:pt idx="10">
                  <c:v>7.4767343412292658E-2</c:v>
                </c:pt>
                <c:pt idx="11">
                  <c:v>7.5153493644059891E-2</c:v>
                </c:pt>
                <c:pt idx="12">
                  <c:v>7.5475939779278953E-2</c:v>
                </c:pt>
                <c:pt idx="13">
                  <c:v>7.5879438898817098E-2</c:v>
                </c:pt>
                <c:pt idx="14">
                  <c:v>7.6292582458479849E-2</c:v>
                </c:pt>
                <c:pt idx="15">
                  <c:v>7.6499414669205637E-2</c:v>
                </c:pt>
                <c:pt idx="16">
                  <c:v>7.6774372103615707E-2</c:v>
                </c:pt>
                <c:pt idx="17">
                  <c:v>7.6891466562129293E-2</c:v>
                </c:pt>
                <c:pt idx="18">
                  <c:v>7.7186804297491501E-2</c:v>
                </c:pt>
                <c:pt idx="19">
                  <c:v>7.7629466493568264E-2</c:v>
                </c:pt>
                <c:pt idx="20">
                  <c:v>7.7752972684011948E-2</c:v>
                </c:pt>
                <c:pt idx="21">
                  <c:v>7.8202570307347494E-2</c:v>
                </c:pt>
                <c:pt idx="22">
                  <c:v>7.8541545944515248E-2</c:v>
                </c:pt>
                <c:pt idx="23">
                  <c:v>7.8988940994691031E-2</c:v>
                </c:pt>
                <c:pt idx="24">
                  <c:v>7.9474514235551685E-2</c:v>
                </c:pt>
                <c:pt idx="25">
                  <c:v>7.996927545538686E-2</c:v>
                </c:pt>
                <c:pt idx="26">
                  <c:v>8.0413302271505963E-2</c:v>
                </c:pt>
                <c:pt idx="27">
                  <c:v>8.052135333587418E-2</c:v>
                </c:pt>
                <c:pt idx="28">
                  <c:v>8.1023361248242692E-2</c:v>
                </c:pt>
                <c:pt idx="29">
                  <c:v>8.1544605224132011E-2</c:v>
                </c:pt>
                <c:pt idx="30">
                  <c:v>8.2075936970248065E-2</c:v>
                </c:pt>
                <c:pt idx="31">
                  <c:v>8.2573091223602527E-2</c:v>
                </c:pt>
                <c:pt idx="32">
                  <c:v>8.3135008860812279E-2</c:v>
                </c:pt>
                <c:pt idx="33">
                  <c:v>8.3108064917043326E-2</c:v>
                </c:pt>
                <c:pt idx="34">
                  <c:v>8.368938273417223E-2</c:v>
                </c:pt>
                <c:pt idx="35">
                  <c:v>8.4247026299049968E-2</c:v>
                </c:pt>
                <c:pt idx="36">
                  <c:v>8.4850783874536734E-2</c:v>
                </c:pt>
                <c:pt idx="37">
                  <c:v>8.5471828839687861E-2</c:v>
                </c:pt>
                <c:pt idx="38">
                  <c:v>8.5708363440725105E-2</c:v>
                </c:pt>
                <c:pt idx="39">
                  <c:v>8.5758721973011376E-2</c:v>
                </c:pt>
                <c:pt idx="40">
                  <c:v>8.6415232564338085E-2</c:v>
                </c:pt>
                <c:pt idx="41">
                  <c:v>8.7076463824334621E-2</c:v>
                </c:pt>
                <c:pt idx="42">
                  <c:v>8.7530648925608454E-2</c:v>
                </c:pt>
                <c:pt idx="43">
                  <c:v>8.8220126440074861E-2</c:v>
                </c:pt>
                <c:pt idx="44">
                  <c:v>8.8903878394597721E-2</c:v>
                </c:pt>
                <c:pt idx="45">
                  <c:v>8.940257118064944E-2</c:v>
                </c:pt>
                <c:pt idx="46">
                  <c:v>8.9089876527113213E-2</c:v>
                </c:pt>
                <c:pt idx="47">
                  <c:v>8.9761786626573997E-2</c:v>
                </c:pt>
                <c:pt idx="48">
                  <c:v>9.0322564549279394E-2</c:v>
                </c:pt>
                <c:pt idx="49">
                  <c:v>9.0650961073600711E-2</c:v>
                </c:pt>
                <c:pt idx="50">
                  <c:v>9.1095024607920488E-2</c:v>
                </c:pt>
                <c:pt idx="51">
                  <c:v>9.1442897728724298E-2</c:v>
                </c:pt>
                <c:pt idx="52">
                  <c:v>9.2295776817478262E-2</c:v>
                </c:pt>
                <c:pt idx="53">
                  <c:v>9.3044870490824536E-2</c:v>
                </c:pt>
                <c:pt idx="54">
                  <c:v>8.9753083337032913E-2</c:v>
                </c:pt>
                <c:pt idx="55">
                  <c:v>8.9987941653771761E-2</c:v>
                </c:pt>
                <c:pt idx="56">
                  <c:v>9.0857857815011545E-2</c:v>
                </c:pt>
                <c:pt idx="57">
                  <c:v>9.1794387965929508E-2</c:v>
                </c:pt>
                <c:pt idx="58">
                  <c:v>9.2675875937289293E-2</c:v>
                </c:pt>
                <c:pt idx="59">
                  <c:v>9.341982319512307E-2</c:v>
                </c:pt>
                <c:pt idx="60">
                  <c:v>9.4206410187469183E-2</c:v>
                </c:pt>
                <c:pt idx="61">
                  <c:v>9.5265738876281258E-2</c:v>
                </c:pt>
                <c:pt idx="62">
                  <c:v>9.6361467180378205E-2</c:v>
                </c:pt>
                <c:pt idx="63">
                  <c:v>9.5843041711076105E-2</c:v>
                </c:pt>
                <c:pt idx="64">
                  <c:v>9.4346407250935529E-2</c:v>
                </c:pt>
                <c:pt idx="65">
                  <c:v>9.2682545991648602E-2</c:v>
                </c:pt>
                <c:pt idx="66">
                  <c:v>9.3689035358575659E-2</c:v>
                </c:pt>
                <c:pt idx="67">
                  <c:v>9.4822458574697441E-2</c:v>
                </c:pt>
                <c:pt idx="68">
                  <c:v>9.5142657339972139E-2</c:v>
                </c:pt>
                <c:pt idx="69">
                  <c:v>9.5703401583113357E-2</c:v>
                </c:pt>
                <c:pt idx="70">
                  <c:v>9.5649769087577621E-2</c:v>
                </c:pt>
                <c:pt idx="71">
                  <c:v>9.6523726248464392E-2</c:v>
                </c:pt>
                <c:pt idx="72">
                  <c:v>9.6816351662805722E-2</c:v>
                </c:pt>
                <c:pt idx="73">
                  <c:v>9.829913077705528E-2</c:v>
                </c:pt>
                <c:pt idx="74">
                  <c:v>9.9756579171924584E-2</c:v>
                </c:pt>
                <c:pt idx="75">
                  <c:v>0.10138640297425329</c:v>
                </c:pt>
                <c:pt idx="76">
                  <c:v>0.10117174298751382</c:v>
                </c:pt>
                <c:pt idx="77">
                  <c:v>0.10274651227860007</c:v>
                </c:pt>
                <c:pt idx="78">
                  <c:v>0.10074081025669843</c:v>
                </c:pt>
                <c:pt idx="79">
                  <c:v>9.9430822052890958E-2</c:v>
                </c:pt>
                <c:pt idx="80">
                  <c:v>9.9716490963020585E-2</c:v>
                </c:pt>
                <c:pt idx="81">
                  <c:v>9.9603782155514409E-2</c:v>
                </c:pt>
                <c:pt idx="82">
                  <c:v>9.9515486453794738E-2</c:v>
                </c:pt>
                <c:pt idx="83">
                  <c:v>9.8135196763761631E-2</c:v>
                </c:pt>
                <c:pt idx="84">
                  <c:v>9.6584398895261839E-2</c:v>
                </c:pt>
                <c:pt idx="85">
                  <c:v>9.8733318830088707E-2</c:v>
                </c:pt>
                <c:pt idx="86">
                  <c:v>0.10121289211643152</c:v>
                </c:pt>
                <c:pt idx="87">
                  <c:v>0.10352786513623538</c:v>
                </c:pt>
                <c:pt idx="88">
                  <c:v>0.10275483719572608</c:v>
                </c:pt>
                <c:pt idx="89">
                  <c:v>0.10125758872155188</c:v>
                </c:pt>
                <c:pt idx="90">
                  <c:v>0.10348034780701465</c:v>
                </c:pt>
                <c:pt idx="91">
                  <c:v>0.10433537684778621</c:v>
                </c:pt>
                <c:pt idx="92">
                  <c:v>0.10800662973295413</c:v>
                </c:pt>
                <c:pt idx="93">
                  <c:v>0.11158630738945924</c:v>
                </c:pt>
                <c:pt idx="94">
                  <c:v>0.11654133500728033</c:v>
                </c:pt>
                <c:pt idx="95">
                  <c:v>0.12220365018720523</c:v>
                </c:pt>
                <c:pt idx="96">
                  <c:v>0.1210156746766325</c:v>
                </c:pt>
                <c:pt idx="97">
                  <c:v>0.11925673766771816</c:v>
                </c:pt>
                <c:pt idx="98">
                  <c:v>0.1134390425572368</c:v>
                </c:pt>
                <c:pt idx="99">
                  <c:v>0.12189886076873589</c:v>
                </c:pt>
                <c:pt idx="100">
                  <c:v>0.133019580249851</c:v>
                </c:pt>
                <c:pt idx="101">
                  <c:v>0.14856576837307828</c:v>
                </c:pt>
                <c:pt idx="102">
                  <c:v>0.12092540529192376</c:v>
                </c:pt>
                <c:pt idx="103">
                  <c:v>0.12564479978590307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0-C94D-B67D-C5CFC8618E30}"/>
            </c:ext>
          </c:extLst>
        </c:ser>
        <c:ser>
          <c:idx val="1"/>
          <c:order val="1"/>
          <c:tx>
            <c:strRef>
              <c:f>Sheet16!$F$3</c:f>
              <c:strCache>
                <c:ptCount val="1"/>
                <c:pt idx="0">
                  <c:v>Greater 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Sheet16!$B$4:$B$109</c:f>
              <c:numCache>
                <c:formatCode>mmm\-yy</c:formatCode>
                <c:ptCount val="106"/>
                <c:pt idx="0">
                  <c:v>33298</c:v>
                </c:pt>
                <c:pt idx="1">
                  <c:v>33390</c:v>
                </c:pt>
                <c:pt idx="2">
                  <c:v>33482</c:v>
                </c:pt>
                <c:pt idx="3">
                  <c:v>33573</c:v>
                </c:pt>
                <c:pt idx="4">
                  <c:v>33664</c:v>
                </c:pt>
                <c:pt idx="5">
                  <c:v>33756</c:v>
                </c:pt>
                <c:pt idx="6">
                  <c:v>33848</c:v>
                </c:pt>
                <c:pt idx="7">
                  <c:v>33939</c:v>
                </c:pt>
                <c:pt idx="8">
                  <c:v>34029</c:v>
                </c:pt>
                <c:pt idx="9">
                  <c:v>34121</c:v>
                </c:pt>
                <c:pt idx="10">
                  <c:v>34213</c:v>
                </c:pt>
                <c:pt idx="11">
                  <c:v>34304</c:v>
                </c:pt>
                <c:pt idx="12">
                  <c:v>34394</c:v>
                </c:pt>
                <c:pt idx="13">
                  <c:v>34486</c:v>
                </c:pt>
                <c:pt idx="14">
                  <c:v>34578</c:v>
                </c:pt>
                <c:pt idx="15">
                  <c:v>34669</c:v>
                </c:pt>
                <c:pt idx="16">
                  <c:v>34759</c:v>
                </c:pt>
                <c:pt idx="17">
                  <c:v>34851</c:v>
                </c:pt>
                <c:pt idx="18">
                  <c:v>34943</c:v>
                </c:pt>
                <c:pt idx="19">
                  <c:v>35034</c:v>
                </c:pt>
                <c:pt idx="20">
                  <c:v>35125</c:v>
                </c:pt>
                <c:pt idx="21">
                  <c:v>35217</c:v>
                </c:pt>
                <c:pt idx="22">
                  <c:v>35309</c:v>
                </c:pt>
                <c:pt idx="23">
                  <c:v>35400</c:v>
                </c:pt>
                <c:pt idx="24">
                  <c:v>35490</c:v>
                </c:pt>
                <c:pt idx="25">
                  <c:v>35582</c:v>
                </c:pt>
                <c:pt idx="26">
                  <c:v>35674</c:v>
                </c:pt>
                <c:pt idx="27">
                  <c:v>35765</c:v>
                </c:pt>
                <c:pt idx="28">
                  <c:v>35855</c:v>
                </c:pt>
                <c:pt idx="29">
                  <c:v>35947</c:v>
                </c:pt>
                <c:pt idx="30">
                  <c:v>36039</c:v>
                </c:pt>
                <c:pt idx="31">
                  <c:v>36130</c:v>
                </c:pt>
                <c:pt idx="32">
                  <c:v>36220</c:v>
                </c:pt>
                <c:pt idx="33">
                  <c:v>36312</c:v>
                </c:pt>
                <c:pt idx="34">
                  <c:v>36404</c:v>
                </c:pt>
                <c:pt idx="35">
                  <c:v>36495</c:v>
                </c:pt>
                <c:pt idx="36">
                  <c:v>36586</c:v>
                </c:pt>
                <c:pt idx="37">
                  <c:v>36678</c:v>
                </c:pt>
                <c:pt idx="38">
                  <c:v>36770</c:v>
                </c:pt>
                <c:pt idx="39">
                  <c:v>36861</c:v>
                </c:pt>
                <c:pt idx="40">
                  <c:v>36951</c:v>
                </c:pt>
                <c:pt idx="41">
                  <c:v>37043</c:v>
                </c:pt>
                <c:pt idx="42">
                  <c:v>37135</c:v>
                </c:pt>
                <c:pt idx="43">
                  <c:v>37226</c:v>
                </c:pt>
                <c:pt idx="44">
                  <c:v>37316</c:v>
                </c:pt>
                <c:pt idx="45">
                  <c:v>37408</c:v>
                </c:pt>
                <c:pt idx="46">
                  <c:v>37500</c:v>
                </c:pt>
                <c:pt idx="47">
                  <c:v>37591</c:v>
                </c:pt>
                <c:pt idx="48">
                  <c:v>37681</c:v>
                </c:pt>
                <c:pt idx="49">
                  <c:v>37773</c:v>
                </c:pt>
                <c:pt idx="50">
                  <c:v>37865</c:v>
                </c:pt>
                <c:pt idx="51">
                  <c:v>37956</c:v>
                </c:pt>
                <c:pt idx="52">
                  <c:v>38047</c:v>
                </c:pt>
                <c:pt idx="53">
                  <c:v>38139</c:v>
                </c:pt>
                <c:pt idx="54">
                  <c:v>38231</c:v>
                </c:pt>
                <c:pt idx="55">
                  <c:v>38322</c:v>
                </c:pt>
                <c:pt idx="56">
                  <c:v>38412</c:v>
                </c:pt>
                <c:pt idx="57">
                  <c:v>38504</c:v>
                </c:pt>
                <c:pt idx="58">
                  <c:v>38596</c:v>
                </c:pt>
                <c:pt idx="59">
                  <c:v>38687</c:v>
                </c:pt>
                <c:pt idx="60">
                  <c:v>38777</c:v>
                </c:pt>
                <c:pt idx="61">
                  <c:v>38869</c:v>
                </c:pt>
                <c:pt idx="62">
                  <c:v>38961</c:v>
                </c:pt>
                <c:pt idx="63">
                  <c:v>39052</c:v>
                </c:pt>
                <c:pt idx="64">
                  <c:v>39142</c:v>
                </c:pt>
                <c:pt idx="65">
                  <c:v>39234</c:v>
                </c:pt>
                <c:pt idx="66">
                  <c:v>39326</c:v>
                </c:pt>
                <c:pt idx="67">
                  <c:v>39417</c:v>
                </c:pt>
                <c:pt idx="68">
                  <c:v>39508</c:v>
                </c:pt>
                <c:pt idx="69">
                  <c:v>39600</c:v>
                </c:pt>
                <c:pt idx="70">
                  <c:v>39692</c:v>
                </c:pt>
                <c:pt idx="71">
                  <c:v>39783</c:v>
                </c:pt>
                <c:pt idx="72">
                  <c:v>39873</c:v>
                </c:pt>
                <c:pt idx="73">
                  <c:v>39965</c:v>
                </c:pt>
                <c:pt idx="74">
                  <c:v>40057</c:v>
                </c:pt>
                <c:pt idx="75">
                  <c:v>40148</c:v>
                </c:pt>
                <c:pt idx="76">
                  <c:v>40238</c:v>
                </c:pt>
                <c:pt idx="77">
                  <c:v>40330</c:v>
                </c:pt>
                <c:pt idx="78">
                  <c:v>40422</c:v>
                </c:pt>
                <c:pt idx="79">
                  <c:v>40513</c:v>
                </c:pt>
                <c:pt idx="80">
                  <c:v>40603</c:v>
                </c:pt>
                <c:pt idx="81">
                  <c:v>40695</c:v>
                </c:pt>
                <c:pt idx="82">
                  <c:v>40787</c:v>
                </c:pt>
                <c:pt idx="83">
                  <c:v>40878</c:v>
                </c:pt>
                <c:pt idx="84">
                  <c:v>40969</c:v>
                </c:pt>
                <c:pt idx="85">
                  <c:v>41061</c:v>
                </c:pt>
                <c:pt idx="86">
                  <c:v>41153</c:v>
                </c:pt>
                <c:pt idx="87">
                  <c:v>41244</c:v>
                </c:pt>
                <c:pt idx="88">
                  <c:v>41334</c:v>
                </c:pt>
                <c:pt idx="89">
                  <c:v>41426</c:v>
                </c:pt>
                <c:pt idx="90">
                  <c:v>41518</c:v>
                </c:pt>
                <c:pt idx="91">
                  <c:v>41609</c:v>
                </c:pt>
                <c:pt idx="92">
                  <c:v>41699</c:v>
                </c:pt>
                <c:pt idx="93">
                  <c:v>41791</c:v>
                </c:pt>
                <c:pt idx="94">
                  <c:v>41883</c:v>
                </c:pt>
                <c:pt idx="95">
                  <c:v>41974</c:v>
                </c:pt>
                <c:pt idx="96">
                  <c:v>42064</c:v>
                </c:pt>
                <c:pt idx="97">
                  <c:v>42156</c:v>
                </c:pt>
                <c:pt idx="98">
                  <c:v>42248</c:v>
                </c:pt>
                <c:pt idx="99">
                  <c:v>42339</c:v>
                </c:pt>
                <c:pt idx="100">
                  <c:v>42430</c:v>
                </c:pt>
                <c:pt idx="101">
                  <c:v>42522</c:v>
                </c:pt>
                <c:pt idx="102">
                  <c:v>42614</c:v>
                </c:pt>
                <c:pt idx="103">
                  <c:v>42705</c:v>
                </c:pt>
                <c:pt idx="104">
                  <c:v>42795</c:v>
                </c:pt>
                <c:pt idx="105">
                  <c:v>42887</c:v>
                </c:pt>
              </c:numCache>
            </c:numRef>
          </c:cat>
          <c:val>
            <c:numRef>
              <c:f>Sheet16!$F$4:$F$109</c:f>
              <c:numCache>
                <c:formatCode>General</c:formatCode>
                <c:ptCount val="106"/>
                <c:pt idx="1">
                  <c:v>0.10506048681485879</c:v>
                </c:pt>
                <c:pt idx="2">
                  <c:v>0.10553321256545499</c:v>
                </c:pt>
                <c:pt idx="3">
                  <c:v>0.10603727475988155</c:v>
                </c:pt>
                <c:pt idx="4">
                  <c:v>0.10649089482892785</c:v>
                </c:pt>
                <c:pt idx="5">
                  <c:v>0.10695325969506707</c:v>
                </c:pt>
                <c:pt idx="6">
                  <c:v>0.10745890391015638</c:v>
                </c:pt>
                <c:pt idx="7">
                  <c:v>0.10799814985435305</c:v>
                </c:pt>
                <c:pt idx="8">
                  <c:v>0.10854639469839879</c:v>
                </c:pt>
                <c:pt idx="9">
                  <c:v>0.10908782815912918</c:v>
                </c:pt>
                <c:pt idx="10">
                  <c:v>0.10962821577382081</c:v>
                </c:pt>
                <c:pt idx="11">
                  <c:v>0.11020156274143454</c:v>
                </c:pt>
                <c:pt idx="12">
                  <c:v>0.11078400034696619</c:v>
                </c:pt>
                <c:pt idx="13">
                  <c:v>0.11135304934200516</c:v>
                </c:pt>
                <c:pt idx="14">
                  <c:v>0.11195449024328155</c:v>
                </c:pt>
                <c:pt idx="15">
                  <c:v>0.11244190108150211</c:v>
                </c:pt>
                <c:pt idx="16">
                  <c:v>0.1130637325032712</c:v>
                </c:pt>
                <c:pt idx="17">
                  <c:v>0.1136728455472133</c:v>
                </c:pt>
                <c:pt idx="18">
                  <c:v>0.11431181545520258</c:v>
                </c:pt>
                <c:pt idx="19">
                  <c:v>0.11496022611756032</c:v>
                </c:pt>
                <c:pt idx="20">
                  <c:v>0.11561486855383321</c:v>
                </c:pt>
                <c:pt idx="21">
                  <c:v>0.11629106416369497</c:v>
                </c:pt>
                <c:pt idx="22">
                  <c:v>0.11691471632701871</c:v>
                </c:pt>
                <c:pt idx="23">
                  <c:v>0.11761592833050896</c:v>
                </c:pt>
                <c:pt idx="24">
                  <c:v>0.11811501231946703</c:v>
                </c:pt>
                <c:pt idx="25">
                  <c:v>0.11884187794977567</c:v>
                </c:pt>
                <c:pt idx="26">
                  <c:v>0.11955433910769048</c:v>
                </c:pt>
                <c:pt idx="27">
                  <c:v>0.12026963654845085</c:v>
                </c:pt>
                <c:pt idx="28">
                  <c:v>0.12098721433159604</c:v>
                </c:pt>
                <c:pt idx="29">
                  <c:v>0.12175543348572723</c:v>
                </c:pt>
                <c:pt idx="30">
                  <c:v>0.12251722458344558</c:v>
                </c:pt>
                <c:pt idx="31">
                  <c:v>0.12333052807064633</c:v>
                </c:pt>
                <c:pt idx="32">
                  <c:v>0.12408196753847271</c:v>
                </c:pt>
                <c:pt idx="33">
                  <c:v>0.12492834946320984</c:v>
                </c:pt>
                <c:pt idx="34">
                  <c:v>0.12561310475995696</c:v>
                </c:pt>
                <c:pt idx="35">
                  <c:v>0.12647958515763502</c:v>
                </c:pt>
                <c:pt idx="36">
                  <c:v>0.12731125505270166</c:v>
                </c:pt>
                <c:pt idx="37">
                  <c:v>0.12822881004223388</c:v>
                </c:pt>
                <c:pt idx="38">
                  <c:v>0.12899056243948928</c:v>
                </c:pt>
                <c:pt idx="39">
                  <c:v>0.12967272341771383</c:v>
                </c:pt>
                <c:pt idx="40">
                  <c:v>0.13041506866889638</c:v>
                </c:pt>
                <c:pt idx="41">
                  <c:v>0.13139225104425495</c:v>
                </c:pt>
                <c:pt idx="42">
                  <c:v>0.1322267706308467</c:v>
                </c:pt>
                <c:pt idx="43">
                  <c:v>0.13318473391766866</c:v>
                </c:pt>
                <c:pt idx="44">
                  <c:v>0.13419544850414641</c:v>
                </c:pt>
                <c:pt idx="45">
                  <c:v>0.13520833769568055</c:v>
                </c:pt>
                <c:pt idx="46">
                  <c:v>0.13611494908893179</c:v>
                </c:pt>
                <c:pt idx="47">
                  <c:v>0.13714618672586529</c:v>
                </c:pt>
                <c:pt idx="48">
                  <c:v>0.13820945319219896</c:v>
                </c:pt>
                <c:pt idx="49">
                  <c:v>0.13941650056871766</c:v>
                </c:pt>
                <c:pt idx="50">
                  <c:v>0.14051383005526105</c:v>
                </c:pt>
                <c:pt idx="51">
                  <c:v>0.14174704438917962</c:v>
                </c:pt>
                <c:pt idx="52">
                  <c:v>0.14287024510200116</c:v>
                </c:pt>
                <c:pt idx="53">
                  <c:v>0.1442027205549111</c:v>
                </c:pt>
                <c:pt idx="54">
                  <c:v>0.14557264610147197</c:v>
                </c:pt>
                <c:pt idx="55">
                  <c:v>0.14695146842365178</c:v>
                </c:pt>
                <c:pt idx="56">
                  <c:v>0.14831119861701866</c:v>
                </c:pt>
                <c:pt idx="57">
                  <c:v>0.14973121689281338</c:v>
                </c:pt>
                <c:pt idx="58">
                  <c:v>0.15125981308805578</c:v>
                </c:pt>
                <c:pt idx="59">
                  <c:v>0.15284200768995596</c:v>
                </c:pt>
                <c:pt idx="60">
                  <c:v>0.15444822353782284</c:v>
                </c:pt>
                <c:pt idx="61">
                  <c:v>0.15611656348506212</c:v>
                </c:pt>
                <c:pt idx="62">
                  <c:v>0.15773378568055874</c:v>
                </c:pt>
                <c:pt idx="63">
                  <c:v>0.15949410510262993</c:v>
                </c:pt>
                <c:pt idx="64">
                  <c:v>0.16111606046026994</c:v>
                </c:pt>
                <c:pt idx="65">
                  <c:v>0.16299939208373718</c:v>
                </c:pt>
                <c:pt idx="66">
                  <c:v>0.16468165917015309</c:v>
                </c:pt>
                <c:pt idx="67">
                  <c:v>0.16677932161713344</c:v>
                </c:pt>
                <c:pt idx="68">
                  <c:v>0.16872518597962005</c:v>
                </c:pt>
                <c:pt idx="69">
                  <c:v>0.17075403869290193</c:v>
                </c:pt>
                <c:pt idx="70">
                  <c:v>0.17310246818641919</c:v>
                </c:pt>
                <c:pt idx="71">
                  <c:v>0.17550531333955158</c:v>
                </c:pt>
                <c:pt idx="72">
                  <c:v>0.17805845274826937</c:v>
                </c:pt>
                <c:pt idx="73">
                  <c:v>0.18073602288077051</c:v>
                </c:pt>
                <c:pt idx="74">
                  <c:v>0.18305006998218157</c:v>
                </c:pt>
                <c:pt idx="75">
                  <c:v>0.1857964024899299</c:v>
                </c:pt>
                <c:pt idx="76">
                  <c:v>0.18747746901238035</c:v>
                </c:pt>
                <c:pt idx="77">
                  <c:v>0.19065777060598013</c:v>
                </c:pt>
                <c:pt idx="78">
                  <c:v>0.1936562092203532</c:v>
                </c:pt>
                <c:pt idx="79">
                  <c:v>0.1972084630052772</c:v>
                </c:pt>
                <c:pt idx="80">
                  <c:v>0.20063038166809133</c:v>
                </c:pt>
                <c:pt idx="81">
                  <c:v>0.20346843373700244</c:v>
                </c:pt>
                <c:pt idx="82">
                  <c:v>0.20746780212769922</c:v>
                </c:pt>
                <c:pt idx="83">
                  <c:v>0.21182222248872648</c:v>
                </c:pt>
                <c:pt idx="84">
                  <c:v>0.21655882064914606</c:v>
                </c:pt>
                <c:pt idx="85">
                  <c:v>0.21998548892793687</c:v>
                </c:pt>
                <c:pt idx="86">
                  <c:v>0.225260068871317</c:v>
                </c:pt>
                <c:pt idx="87">
                  <c:v>0.23110558545943019</c:v>
                </c:pt>
                <c:pt idx="88">
                  <c:v>0.23630495680254091</c:v>
                </c:pt>
                <c:pt idx="89">
                  <c:v>0.24312099476766189</c:v>
                </c:pt>
                <c:pt idx="90">
                  <c:v>0.24973765193852823</c:v>
                </c:pt>
                <c:pt idx="91">
                  <c:v>0.25731862075357775</c:v>
                </c:pt>
                <c:pt idx="92">
                  <c:v>0.26580194586645833</c:v>
                </c:pt>
                <c:pt idx="93">
                  <c:v>0.27350966394322179</c:v>
                </c:pt>
                <c:pt idx="94">
                  <c:v>0.28397576283197856</c:v>
                </c:pt>
                <c:pt idx="95">
                  <c:v>0.29508835546179241</c:v>
                </c:pt>
                <c:pt idx="96">
                  <c:v>0.30701907040466336</c:v>
                </c:pt>
                <c:pt idx="97">
                  <c:v>0.32225504039270342</c:v>
                </c:pt>
                <c:pt idx="98">
                  <c:v>0.33611820902622175</c:v>
                </c:pt>
                <c:pt idx="99">
                  <c:v>0.35474907154456958</c:v>
                </c:pt>
                <c:pt idx="100">
                  <c:v>0.37653877883765202</c:v>
                </c:pt>
                <c:pt idx="101">
                  <c:v>0.40798854517633537</c:v>
                </c:pt>
                <c:pt idx="102">
                  <c:v>0.4403381201111618</c:v>
                </c:pt>
                <c:pt idx="103">
                  <c:v>0.48033842525236303</c:v>
                </c:pt>
                <c:pt idx="104">
                  <c:v>0.4821428571428571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0-C94D-B67D-C5CFC8618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9812912"/>
        <c:axId val="91751247"/>
      </c:lineChart>
      <c:dateAx>
        <c:axId val="159981291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1247"/>
        <c:crosses val="autoZero"/>
        <c:auto val="1"/>
        <c:lblOffset val="100"/>
        <c:baseTimeUnit val="months"/>
        <c:majorUnit val="12"/>
        <c:majorTimeUnit val="months"/>
      </c:dateAx>
      <c:valAx>
        <c:axId val="917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1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Sheet16!$K$6</c:f>
              <c:strCache>
                <c:ptCount val="1"/>
                <c:pt idx="0">
                  <c:v>Ryde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Sheet16!$L$5:$N$5</c:f>
              <c:strCache>
                <c:ptCount val="3"/>
                <c:pt idx="0">
                  <c:v>All Dwelling</c:v>
                </c:pt>
                <c:pt idx="1">
                  <c:v>Non Strata</c:v>
                </c:pt>
                <c:pt idx="2">
                  <c:v>Strata</c:v>
                </c:pt>
              </c:strCache>
            </c:strRef>
          </c:cat>
          <c:val>
            <c:numRef>
              <c:f>Sheet16!$L$6:$N$6</c:f>
              <c:numCache>
                <c:formatCode>0.00</c:formatCode>
                <c:ptCount val="3"/>
                <c:pt idx="0">
                  <c:v>9.4722547440594802</c:v>
                </c:pt>
                <c:pt idx="1">
                  <c:v>18.351363515030275</c:v>
                </c:pt>
                <c:pt idx="2">
                  <c:v>18.380384616204669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1-564A-822F-4518FA175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4908080"/>
        <c:axId val="200940655"/>
      </c:barChart>
      <c:catAx>
        <c:axId val="171490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0655"/>
        <c:crosses val="autoZero"/>
        <c:auto val="1"/>
        <c:lblAlgn val="ctr"/>
        <c:lblOffset val="100"/>
        <c:noMultiLvlLbl val="0"/>
      </c:catAx>
      <c:valAx>
        <c:axId val="20094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90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'testing ad'!$I$5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'testing ad'!$H$6:$H$111</c:f>
              <c:numCache>
                <c:formatCode>mmm\-yy</c:formatCode>
                <c:ptCount val="106"/>
                <c:pt idx="0">
                  <c:v>33298</c:v>
                </c:pt>
                <c:pt idx="1">
                  <c:v>33390</c:v>
                </c:pt>
                <c:pt idx="2">
                  <c:v>33482</c:v>
                </c:pt>
                <c:pt idx="3">
                  <c:v>33573</c:v>
                </c:pt>
                <c:pt idx="4">
                  <c:v>33664</c:v>
                </c:pt>
                <c:pt idx="5">
                  <c:v>33756</c:v>
                </c:pt>
                <c:pt idx="6">
                  <c:v>33848</c:v>
                </c:pt>
                <c:pt idx="7">
                  <c:v>33939</c:v>
                </c:pt>
                <c:pt idx="8">
                  <c:v>34029</c:v>
                </c:pt>
                <c:pt idx="9">
                  <c:v>34121</c:v>
                </c:pt>
                <c:pt idx="10">
                  <c:v>34213</c:v>
                </c:pt>
                <c:pt idx="11">
                  <c:v>34304</c:v>
                </c:pt>
                <c:pt idx="12">
                  <c:v>34394</c:v>
                </c:pt>
                <c:pt idx="13">
                  <c:v>34486</c:v>
                </c:pt>
                <c:pt idx="14">
                  <c:v>34578</c:v>
                </c:pt>
                <c:pt idx="15">
                  <c:v>34669</c:v>
                </c:pt>
                <c:pt idx="16">
                  <c:v>34759</c:v>
                </c:pt>
                <c:pt idx="17">
                  <c:v>34851</c:v>
                </c:pt>
                <c:pt idx="18">
                  <c:v>34943</c:v>
                </c:pt>
                <c:pt idx="19">
                  <c:v>35034</c:v>
                </c:pt>
                <c:pt idx="20">
                  <c:v>35125</c:v>
                </c:pt>
                <c:pt idx="21">
                  <c:v>35217</c:v>
                </c:pt>
                <c:pt idx="22">
                  <c:v>35309</c:v>
                </c:pt>
                <c:pt idx="23">
                  <c:v>35400</c:v>
                </c:pt>
                <c:pt idx="24">
                  <c:v>35490</c:v>
                </c:pt>
                <c:pt idx="25">
                  <c:v>35582</c:v>
                </c:pt>
                <c:pt idx="26">
                  <c:v>35674</c:v>
                </c:pt>
                <c:pt idx="27">
                  <c:v>35765</c:v>
                </c:pt>
                <c:pt idx="28">
                  <c:v>35855</c:v>
                </c:pt>
                <c:pt idx="29">
                  <c:v>35947</c:v>
                </c:pt>
                <c:pt idx="30">
                  <c:v>36039</c:v>
                </c:pt>
                <c:pt idx="31">
                  <c:v>36130</c:v>
                </c:pt>
                <c:pt idx="32">
                  <c:v>36220</c:v>
                </c:pt>
                <c:pt idx="33">
                  <c:v>36312</c:v>
                </c:pt>
                <c:pt idx="34">
                  <c:v>36404</c:v>
                </c:pt>
                <c:pt idx="35">
                  <c:v>36495</c:v>
                </c:pt>
                <c:pt idx="36">
                  <c:v>36586</c:v>
                </c:pt>
                <c:pt idx="37">
                  <c:v>36678</c:v>
                </c:pt>
                <c:pt idx="38">
                  <c:v>36770</c:v>
                </c:pt>
                <c:pt idx="39">
                  <c:v>36861</c:v>
                </c:pt>
                <c:pt idx="40">
                  <c:v>36951</c:v>
                </c:pt>
                <c:pt idx="41">
                  <c:v>37043</c:v>
                </c:pt>
                <c:pt idx="42">
                  <c:v>37135</c:v>
                </c:pt>
                <c:pt idx="43">
                  <c:v>37226</c:v>
                </c:pt>
                <c:pt idx="44">
                  <c:v>37316</c:v>
                </c:pt>
                <c:pt idx="45">
                  <c:v>37408</c:v>
                </c:pt>
                <c:pt idx="46">
                  <c:v>37500</c:v>
                </c:pt>
                <c:pt idx="47">
                  <c:v>37591</c:v>
                </c:pt>
                <c:pt idx="48">
                  <c:v>37681</c:v>
                </c:pt>
                <c:pt idx="49">
                  <c:v>37773</c:v>
                </c:pt>
                <c:pt idx="50">
                  <c:v>37865</c:v>
                </c:pt>
                <c:pt idx="51">
                  <c:v>37956</c:v>
                </c:pt>
                <c:pt idx="52">
                  <c:v>38047</c:v>
                </c:pt>
                <c:pt idx="53">
                  <c:v>38139</c:v>
                </c:pt>
                <c:pt idx="54">
                  <c:v>38231</c:v>
                </c:pt>
                <c:pt idx="55">
                  <c:v>38322</c:v>
                </c:pt>
                <c:pt idx="56">
                  <c:v>38412</c:v>
                </c:pt>
                <c:pt idx="57">
                  <c:v>38504</c:v>
                </c:pt>
                <c:pt idx="58">
                  <c:v>38596</c:v>
                </c:pt>
                <c:pt idx="59">
                  <c:v>38687</c:v>
                </c:pt>
                <c:pt idx="60">
                  <c:v>38777</c:v>
                </c:pt>
                <c:pt idx="61">
                  <c:v>38869</c:v>
                </c:pt>
                <c:pt idx="62">
                  <c:v>38961</c:v>
                </c:pt>
                <c:pt idx="63">
                  <c:v>39052</c:v>
                </c:pt>
                <c:pt idx="64">
                  <c:v>39142</c:v>
                </c:pt>
                <c:pt idx="65">
                  <c:v>39234</c:v>
                </c:pt>
                <c:pt idx="66">
                  <c:v>39326</c:v>
                </c:pt>
                <c:pt idx="67">
                  <c:v>39417</c:v>
                </c:pt>
                <c:pt idx="68">
                  <c:v>39508</c:v>
                </c:pt>
                <c:pt idx="69">
                  <c:v>39600</c:v>
                </c:pt>
                <c:pt idx="70">
                  <c:v>39692</c:v>
                </c:pt>
                <c:pt idx="71">
                  <c:v>39783</c:v>
                </c:pt>
                <c:pt idx="72">
                  <c:v>39873</c:v>
                </c:pt>
                <c:pt idx="73">
                  <c:v>39965</c:v>
                </c:pt>
                <c:pt idx="74">
                  <c:v>40057</c:v>
                </c:pt>
                <c:pt idx="75">
                  <c:v>40148</c:v>
                </c:pt>
                <c:pt idx="76">
                  <c:v>40238</c:v>
                </c:pt>
                <c:pt idx="77">
                  <c:v>40330</c:v>
                </c:pt>
                <c:pt idx="78">
                  <c:v>40422</c:v>
                </c:pt>
                <c:pt idx="79">
                  <c:v>40513</c:v>
                </c:pt>
                <c:pt idx="80">
                  <c:v>40603</c:v>
                </c:pt>
                <c:pt idx="81">
                  <c:v>40695</c:v>
                </c:pt>
                <c:pt idx="82">
                  <c:v>40787</c:v>
                </c:pt>
                <c:pt idx="83">
                  <c:v>40878</c:v>
                </c:pt>
                <c:pt idx="84">
                  <c:v>40969</c:v>
                </c:pt>
                <c:pt idx="85">
                  <c:v>41061</c:v>
                </c:pt>
                <c:pt idx="86">
                  <c:v>41153</c:v>
                </c:pt>
                <c:pt idx="87">
                  <c:v>41244</c:v>
                </c:pt>
                <c:pt idx="88">
                  <c:v>41334</c:v>
                </c:pt>
                <c:pt idx="89">
                  <c:v>41426</c:v>
                </c:pt>
                <c:pt idx="90">
                  <c:v>41518</c:v>
                </c:pt>
                <c:pt idx="91">
                  <c:v>41609</c:v>
                </c:pt>
                <c:pt idx="92">
                  <c:v>41699</c:v>
                </c:pt>
                <c:pt idx="93">
                  <c:v>41791</c:v>
                </c:pt>
                <c:pt idx="94">
                  <c:v>41883</c:v>
                </c:pt>
                <c:pt idx="95">
                  <c:v>41974</c:v>
                </c:pt>
                <c:pt idx="96">
                  <c:v>42064</c:v>
                </c:pt>
                <c:pt idx="97">
                  <c:v>42156</c:v>
                </c:pt>
                <c:pt idx="98">
                  <c:v>42248</c:v>
                </c:pt>
                <c:pt idx="99">
                  <c:v>42339</c:v>
                </c:pt>
                <c:pt idx="100">
                  <c:v>42430</c:v>
                </c:pt>
                <c:pt idx="101">
                  <c:v>42522</c:v>
                </c:pt>
                <c:pt idx="102">
                  <c:v>42614</c:v>
                </c:pt>
                <c:pt idx="103">
                  <c:v>42705</c:v>
                </c:pt>
                <c:pt idx="104">
                  <c:v>42795</c:v>
                </c:pt>
                <c:pt idx="105">
                  <c:v>42887</c:v>
                </c:pt>
              </c:numCache>
            </c:numRef>
          </c:cat>
          <c:val>
            <c:numRef>
              <c:f>'testing ad'!$I$6:$I$111</c:f>
              <c:numCache>
                <c:formatCode>0.00</c:formatCode>
                <c:ptCount val="106"/>
                <c:pt idx="0">
                  <c:v>371.72679509632223</c:v>
                </c:pt>
                <c:pt idx="1">
                  <c:v>368.96853146853147</c:v>
                </c:pt>
                <c:pt idx="2">
                  <c:v>386.95187165775394</c:v>
                </c:pt>
                <c:pt idx="3">
                  <c:v>399.12343470483006</c:v>
                </c:pt>
                <c:pt idx="4">
                  <c:v>400.53284671532845</c:v>
                </c:pt>
                <c:pt idx="5">
                  <c:v>413.16666666666669</c:v>
                </c:pt>
                <c:pt idx="6">
                  <c:v>423.11819887429641</c:v>
                </c:pt>
                <c:pt idx="7">
                  <c:v>443.71698113207543</c:v>
                </c:pt>
                <c:pt idx="8">
                  <c:v>434.43151969981238</c:v>
                </c:pt>
                <c:pt idx="9">
                  <c:v>437.93296089385473</c:v>
                </c:pt>
                <c:pt idx="10">
                  <c:v>451.40782122905028</c:v>
                </c:pt>
                <c:pt idx="11">
                  <c:v>452.25</c:v>
                </c:pt>
                <c:pt idx="12">
                  <c:v>455.95463137996217</c:v>
                </c:pt>
                <c:pt idx="13">
                  <c:v>462.11214953271025</c:v>
                </c:pt>
                <c:pt idx="14">
                  <c:v>491.33333333333337</c:v>
                </c:pt>
                <c:pt idx="15">
                  <c:v>466.69801084990962</c:v>
                </c:pt>
                <c:pt idx="16">
                  <c:v>479.91766723842193</c:v>
                </c:pt>
                <c:pt idx="17">
                  <c:v>458.07731092436973</c:v>
                </c:pt>
                <c:pt idx="18">
                  <c:v>466.31999999999994</c:v>
                </c:pt>
                <c:pt idx="19">
                  <c:v>440.53884297520659</c:v>
                </c:pt>
                <c:pt idx="20">
                  <c:v>450.76721311475404</c:v>
                </c:pt>
                <c:pt idx="21">
                  <c:v>438.00977198697069</c:v>
                </c:pt>
                <c:pt idx="22">
                  <c:v>436.58766233766232</c:v>
                </c:pt>
                <c:pt idx="23">
                  <c:v>457.51747088186357</c:v>
                </c:pt>
                <c:pt idx="24">
                  <c:v>477.46075085324225</c:v>
                </c:pt>
                <c:pt idx="25">
                  <c:v>515.94718309859161</c:v>
                </c:pt>
                <c:pt idx="26">
                  <c:v>564.64664310954061</c:v>
                </c:pt>
                <c:pt idx="27">
                  <c:v>591.13416815742403</c:v>
                </c:pt>
                <c:pt idx="28">
                  <c:v>594.38571428571424</c:v>
                </c:pt>
                <c:pt idx="29">
                  <c:v>592.34628975265014</c:v>
                </c:pt>
                <c:pt idx="30">
                  <c:v>581.91608391608395</c:v>
                </c:pt>
                <c:pt idx="31">
                  <c:v>589.3193717277486</c:v>
                </c:pt>
                <c:pt idx="32">
                  <c:v>642.50689655172414</c:v>
                </c:pt>
                <c:pt idx="33">
                  <c:v>654.80412371134014</c:v>
                </c:pt>
                <c:pt idx="34">
                  <c:v>642.79187817258878</c:v>
                </c:pt>
                <c:pt idx="35">
                  <c:v>650.31385642737894</c:v>
                </c:pt>
                <c:pt idx="36">
                  <c:v>652.75247524752467</c:v>
                </c:pt>
                <c:pt idx="37">
                  <c:v>701.52941176470586</c:v>
                </c:pt>
                <c:pt idx="38">
                  <c:v>620.70788253477576</c:v>
                </c:pt>
                <c:pt idx="39">
                  <c:v>632.77777777777783</c:v>
                </c:pt>
                <c:pt idx="40">
                  <c:v>649.38461538461536</c:v>
                </c:pt>
                <c:pt idx="41">
                  <c:v>689.66972477064212</c:v>
                </c:pt>
                <c:pt idx="42">
                  <c:v>703.5</c:v>
                </c:pt>
                <c:pt idx="43">
                  <c:v>697.44578313252998</c:v>
                </c:pt>
                <c:pt idx="44">
                  <c:v>741.31934032983497</c:v>
                </c:pt>
                <c:pt idx="45">
                  <c:v>825.53571428571422</c:v>
                </c:pt>
                <c:pt idx="46">
                  <c:v>854.3240058910161</c:v>
                </c:pt>
                <c:pt idx="47">
                  <c:v>823.4801762114538</c:v>
                </c:pt>
                <c:pt idx="48">
                  <c:v>775.78947368421041</c:v>
                </c:pt>
                <c:pt idx="49">
                  <c:v>829.67198838896934</c:v>
                </c:pt>
                <c:pt idx="50">
                  <c:v>886.81545064377667</c:v>
                </c:pt>
                <c:pt idx="51">
                  <c:v>903.20970042796012</c:v>
                </c:pt>
                <c:pt idx="52">
                  <c:v>942.5617021276596</c:v>
                </c:pt>
                <c:pt idx="53">
                  <c:v>763.29113924050637</c:v>
                </c:pt>
                <c:pt idx="54">
                  <c:v>820.68049792531122</c:v>
                </c:pt>
                <c:pt idx="55">
                  <c:v>811.73076923076917</c:v>
                </c:pt>
                <c:pt idx="56">
                  <c:v>825.41803278688519</c:v>
                </c:pt>
                <c:pt idx="57">
                  <c:v>809.99999999999989</c:v>
                </c:pt>
                <c:pt idx="58">
                  <c:v>775.97855227882042</c:v>
                </c:pt>
                <c:pt idx="59">
                  <c:v>820.07999999999993</c:v>
                </c:pt>
                <c:pt idx="60">
                  <c:v>825.91755319148933</c:v>
                </c:pt>
                <c:pt idx="61">
                  <c:v>829.52380952380963</c:v>
                </c:pt>
                <c:pt idx="62">
                  <c:v>738.39947780678847</c:v>
                </c:pt>
                <c:pt idx="63">
                  <c:v>855.8203125</c:v>
                </c:pt>
                <c:pt idx="64">
                  <c:v>742.03367875647655</c:v>
                </c:pt>
                <c:pt idx="65">
                  <c:v>775.61745827984578</c:v>
                </c:pt>
                <c:pt idx="66">
                  <c:v>794.38035264483619</c:v>
                </c:pt>
                <c:pt idx="67">
                  <c:v>738.67499999999995</c:v>
                </c:pt>
                <c:pt idx="68">
                  <c:v>690.62807881773392</c:v>
                </c:pt>
                <c:pt idx="69">
                  <c:v>761.06796116504847</c:v>
                </c:pt>
                <c:pt idx="70">
                  <c:v>714.45497630331749</c:v>
                </c:pt>
                <c:pt idx="71">
                  <c:v>661.67409144196949</c:v>
                </c:pt>
                <c:pt idx="72">
                  <c:v>679.5157159487776</c:v>
                </c:pt>
                <c:pt idx="73">
                  <c:v>705.00345224395846</c:v>
                </c:pt>
                <c:pt idx="74">
                  <c:v>687.23281596452318</c:v>
                </c:pt>
                <c:pt idx="75">
                  <c:v>770.35242290748897</c:v>
                </c:pt>
                <c:pt idx="76">
                  <c:v>751.77510917030565</c:v>
                </c:pt>
                <c:pt idx="77">
                  <c:v>870.78175895765469</c:v>
                </c:pt>
                <c:pt idx="78">
                  <c:v>755.35031847133757</c:v>
                </c:pt>
                <c:pt idx="79">
                  <c:v>831.50526315789477</c:v>
                </c:pt>
                <c:pt idx="80">
                  <c:v>753.74999999999989</c:v>
                </c:pt>
                <c:pt idx="81">
                  <c:v>837.22314049586771</c:v>
                </c:pt>
                <c:pt idx="82">
                  <c:v>730.17154389505549</c:v>
                </c:pt>
                <c:pt idx="83">
                  <c:v>651.33667334669337</c:v>
                </c:pt>
                <c:pt idx="84">
                  <c:v>686.73326673326676</c:v>
                </c:pt>
                <c:pt idx="85">
                  <c:v>710.46534653465346</c:v>
                </c:pt>
                <c:pt idx="86">
                  <c:v>733.08149568552244</c:v>
                </c:pt>
                <c:pt idx="87">
                  <c:v>826.18458610846824</c:v>
                </c:pt>
                <c:pt idx="88">
                  <c:v>734.53257790368264</c:v>
                </c:pt>
                <c:pt idx="89">
                  <c:v>788.53846153846143</c:v>
                </c:pt>
                <c:pt idx="90">
                  <c:v>722.48847926267285</c:v>
                </c:pt>
                <c:pt idx="91">
                  <c:v>717.85714285714278</c:v>
                </c:pt>
                <c:pt idx="92">
                  <c:v>767.3546034639927</c:v>
                </c:pt>
                <c:pt idx="93">
                  <c:v>781.50541516245482</c:v>
                </c:pt>
                <c:pt idx="94">
                  <c:v>788.16472694717993</c:v>
                </c:pt>
                <c:pt idx="95">
                  <c:v>899.6802841918294</c:v>
                </c:pt>
                <c:pt idx="96">
                  <c:v>788.7834507042254</c:v>
                </c:pt>
                <c:pt idx="97">
                  <c:v>913.15926892950381</c:v>
                </c:pt>
                <c:pt idx="98">
                  <c:v>943.00608166811469</c:v>
                </c:pt>
                <c:pt idx="99">
                  <c:v>919.65337954939332</c:v>
                </c:pt>
                <c:pt idx="100">
                  <c:v>910.48317515099211</c:v>
                </c:pt>
                <c:pt idx="101">
                  <c:v>1077.8560411311055</c:v>
                </c:pt>
                <c:pt idx="102">
                  <c:v>911.63006756756738</c:v>
                </c:pt>
                <c:pt idx="103">
                  <c:v>1015.4722689075629</c:v>
                </c:pt>
                <c:pt idx="104">
                  <c:v>875.80968280467448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B-BB41-A0FF-31CDCF537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216064"/>
        <c:axId val="1442023024"/>
      </c:lineChart>
      <c:dateAx>
        <c:axId val="168021606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23024"/>
        <c:crosses val="autoZero"/>
        <c:auto val="1"/>
        <c:lblOffset val="100"/>
        <c:baseTimeUnit val="months"/>
        <c:majorUnit val="24"/>
        <c:majorTimeUnit val="months"/>
      </c:dateAx>
      <c:valAx>
        <c:axId val="14420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1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266700</xdr:colOff>
          <xdr:row>17</xdr:row>
          <xdr:rowOff>63500</xdr:rowOff>
        </xdr:from>
        <xdr:to>
          <xdr:col>9</xdr:col>
          <xdr:colOff>12700</xdr:colOff>
          <xdr:row>43</xdr:row>
          <xdr:rowOff>101600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1EB72428-924C-B7A8-F341-A649E472E5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615950</xdr:colOff>
      <xdr:row>7</xdr:row>
      <xdr:rowOff>82550</xdr:rowOff>
    </xdr:from>
    <xdr:to>
      <xdr:col>13</xdr:col>
      <xdr:colOff>533400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718F0-C9AD-3444-2B0C-7580265B8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11</xdr:row>
      <xdr:rowOff>133350</xdr:rowOff>
    </xdr:from>
    <xdr:to>
      <xdr:col>12</xdr:col>
      <xdr:colOff>673099</xdr:colOff>
      <xdr:row>34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5C859-38B9-E57A-F0F6-9F7530197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406400</xdr:colOff>
      <xdr:row>24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A1C60E-1525-F74B-B47B-8D1043913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1079500</xdr:colOff>
      <xdr:row>10</xdr:row>
      <xdr:rowOff>50800</xdr:rowOff>
    </xdr:from>
    <xdr:to>
      <xdr:col>2</xdr:col>
      <xdr:colOff>1676400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513CEE-AE13-8EAC-A3B6-F991713CB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19050</xdr:rowOff>
    </xdr:from>
    <xdr:to>
      <xdr:col>4</xdr:col>
      <xdr:colOff>772160</xdr:colOff>
      <xdr:row>58</xdr:row>
      <xdr:rowOff>2540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2B727-50F1-5C42-16DF-9B05D7A0B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146050</xdr:colOff>
      <xdr:row>23</xdr:row>
      <xdr:rowOff>88900</xdr:rowOff>
    </xdr:from>
    <xdr:to>
      <xdr:col>14</xdr:col>
      <xdr:colOff>590550</xdr:colOff>
      <xdr:row>37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EA47BB-9D48-372F-147A-C62C65B95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61</xdr:row>
      <xdr:rowOff>63500</xdr:rowOff>
    </xdr:from>
    <xdr:to>
      <xdr:col>12</xdr:col>
      <xdr:colOff>203200</xdr:colOff>
      <xdr:row>80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12F982-CFE2-D42F-8F42-53DE6FD5D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349250</xdr:colOff>
      <xdr:row>84</xdr:row>
      <xdr:rowOff>127000</xdr:rowOff>
    </xdr:from>
    <xdr:to>
      <xdr:col>9</xdr:col>
      <xdr:colOff>793750</xdr:colOff>
      <xdr:row>99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D543F6-D6E0-17C6-766A-B640464A9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387350</xdr:colOff>
      <xdr:row>29</xdr:row>
      <xdr:rowOff>88900</xdr:rowOff>
    </xdr:from>
    <xdr:to>
      <xdr:col>13</xdr:col>
      <xdr:colOff>6350</xdr:colOff>
      <xdr:row>43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FA82F0-D216-8A0C-3926-494F6C43A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139700</xdr:rowOff>
    </xdr:from>
    <xdr:to>
      <xdr:col>5</xdr:col>
      <xdr:colOff>444500</xdr:colOff>
      <xdr:row>27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CD1133-2AD3-EB3C-40D9-261775634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247650</xdr:colOff>
      <xdr:row>18</xdr:row>
      <xdr:rowOff>12700</xdr:rowOff>
    </xdr:from>
    <xdr:to>
      <xdr:col>10</xdr:col>
      <xdr:colOff>692150</xdr:colOff>
      <xdr:row>32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95A197-E494-358B-EE35-A3D7BAAFA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13</xdr:row>
      <xdr:rowOff>57150</xdr:rowOff>
    </xdr:from>
    <xdr:to>
      <xdr:col>15</xdr:col>
      <xdr:colOff>171450</xdr:colOff>
      <xdr:row>27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36EA48-0DB3-7A18-0A41-8457D52F8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438150</xdr:colOff>
      <xdr:row>33</xdr:row>
      <xdr:rowOff>31750</xdr:rowOff>
    </xdr:from>
    <xdr:to>
      <xdr:col>16</xdr:col>
      <xdr:colOff>57150</xdr:colOff>
      <xdr:row>47</xdr:row>
      <xdr:rowOff>107950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1000100-48AB-9215-5645-ACEF718ED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654050</xdr:colOff>
      <xdr:row>37</xdr:row>
      <xdr:rowOff>114300</xdr:rowOff>
    </xdr:from>
    <xdr:to>
      <xdr:col>14</xdr:col>
      <xdr:colOff>273050</xdr:colOff>
      <xdr:row>52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70E912-EF44-DD89-F4DD-C5C439AE4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152670</xdr:colOff>
      <xdr:row>11</xdr:row>
      <xdr:rowOff>33507</xdr:rowOff>
    </xdr:from>
    <xdr:to>
      <xdr:col>17</xdr:col>
      <xdr:colOff>215900</xdr:colOff>
      <xdr:row>27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D89850-A01F-D1B5-CC3D-D7E222B45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5159.822278009262" createdVersion="1" refreshedVersion="8" recordCount="6" upgradeOnRefresh="1">
  <cacheSource type="worksheet">
    <worksheetSource ref="A3:N9" sheet="Figure 4"/>
  </cacheSource>
  <cacheFields count="14">
    <cacheField name="Greater Metropolitan Region (GMR)" numFmtId="0">
      <sharedItems/>
    </cacheField>
    <cacheField name="Greater Sydney" numFmtId="0">
      <sharedItems/>
    </cacheField>
    <cacheField name="Rings" numFmtId="0">
      <sharedItems/>
    </cacheField>
    <cacheField name="Local Government Area (LGA)" numFmtId="0">
      <sharedItems count="2">
        <s v="Ryde"/>
        <s v="Greater Sydney"/>
      </sharedItems>
    </cacheField>
    <cacheField name="DwellingType" numFmtId="0">
      <sharedItems count="3">
        <s v="All Dwelling"/>
        <s v="Non Strata"/>
        <s v="Strata"/>
      </sharedItems>
    </cacheField>
    <cacheField name="First Quartile Sales Price_x000a_$'000s" numFmtId="0">
      <sharedItems containsSemiMixedTypes="0" containsString="0" containsNumber="1" containsInteger="1" minValue="618" maxValue="1878"/>
    </cacheField>
    <cacheField name="Median Sales Price_x000a_$'000s" numFmtId="0">
      <sharedItems containsSemiMixedTypes="0" containsString="0" containsNumber="1" containsInteger="1" minValue="780" maxValue="2161"/>
    </cacheField>
    <cacheField name="Third Quartile Sales Price_x000a_'000s" numFmtId="0">
      <sharedItems containsSemiMixedTypes="0" containsString="0" containsNumber="1" containsInteger="1" minValue="1085" maxValue="2555"/>
    </cacheField>
    <cacheField name="Mean Sales Price_x000a_$'000s" numFmtId="0">
      <sharedItems containsSemiMixedTypes="0" containsString="0" containsNumber="1" containsInteger="1" minValue="954" maxValue="2215"/>
    </cacheField>
    <cacheField name="Sales_x000a_No." numFmtId="0">
      <sharedItems containsSemiMixedTypes="0" containsString="0" containsNumber="1" containsInteger="1" minValue="268" maxValue="26297"/>
    </cacheField>
    <cacheField name="Qtly change in Median" numFmtId="10">
      <sharedItems containsSemiMixedTypes="0" containsString="0" containsNumber="1" minValue="0.04" maxValue="0.14530000000000001"/>
    </cacheField>
    <cacheField name="Annual change in Median" numFmtId="10">
      <sharedItems containsSemiMixedTypes="0" containsString="0" containsNumber="1" minValue="4.7E-2" maxValue="0.26740000000000003"/>
    </cacheField>
    <cacheField name="Qtly change in Count" numFmtId="10">
      <sharedItems containsSemiMixedTypes="0" containsString="0" containsNumber="1" minValue="0.1313" maxValue="0.48070000000000002"/>
    </cacheField>
    <cacheField name="Annual change in Count" numFmtId="10">
      <sharedItems containsSemiMixedTypes="0" containsString="0" containsNumber="1" minValue="0.69310000000000005" maxValue="1.2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s v="Total"/>
    <s v="Total"/>
    <s v="Total"/>
    <x v="0"/>
    <x v="0"/>
    <n v="768"/>
    <n v="1080"/>
    <n v="1900"/>
    <n v="1348"/>
    <n v="861"/>
    <n v="0.14530000000000001"/>
    <n v="0.1416"/>
    <n v="0.29089999999999999"/>
    <n v="1.2718"/>
  </r>
  <r>
    <s v="Total"/>
    <s v="Total"/>
    <s v="Total"/>
    <x v="0"/>
    <x v="1"/>
    <n v="1878"/>
    <n v="2161"/>
    <n v="2555"/>
    <n v="2215"/>
    <n v="268"/>
    <n v="8.8700000000000001E-2"/>
    <n v="0.26740000000000003"/>
    <n v="0.48070000000000002"/>
    <n v="1.2712000000000001"/>
  </r>
  <r>
    <s v="Total"/>
    <s v="Total"/>
    <s v="Total"/>
    <x v="0"/>
    <x v="2"/>
    <n v="690"/>
    <n v="860"/>
    <n v="1109"/>
    <n v="956"/>
    <n v="593"/>
    <n v="4.3700000000000003E-2"/>
    <n v="0.1169"/>
    <n v="0.22020000000000001"/>
    <n v="1.272"/>
  </r>
  <r>
    <s v="Total"/>
    <s v="Greater Sydney"/>
    <s v="Total"/>
    <x v="1"/>
    <x v="0"/>
    <n v="723"/>
    <n v="960"/>
    <n v="1530"/>
    <n v="1303"/>
    <n v="26297"/>
    <n v="6.6699999999999995E-2"/>
    <n v="0.10979999999999999"/>
    <n v="0.13569999999999999"/>
    <n v="0.90269999999999995"/>
  </r>
  <r>
    <s v="Total"/>
    <s v="Greater Sydney"/>
    <s v="Total"/>
    <x v="1"/>
    <x v="1"/>
    <n v="860"/>
    <n v="1260"/>
    <n v="1930"/>
    <n v="1610"/>
    <n v="13997"/>
    <n v="9.5699999999999993E-2"/>
    <n v="0.26"/>
    <n v="0.1313"/>
    <n v="0.69310000000000005"/>
  </r>
  <r>
    <s v="Total"/>
    <s v="Greater Sydney"/>
    <s v="Total"/>
    <x v="1"/>
    <x v="2"/>
    <n v="618"/>
    <n v="780"/>
    <n v="1085"/>
    <n v="954"/>
    <n v="12300"/>
    <n v="0.04"/>
    <n v="4.7E-2"/>
    <n v="0.14080000000000001"/>
    <n v="1.2145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6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3:D8" firstHeaderRow="1" firstDataRow="2" firstDataCol="1"/>
  <pivotFields count="14"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3">
        <item x="1"/>
        <item x="0"/>
        <item t="default"/>
      </items>
    </pivotField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0" outline="0" showAll="0" includeNewItemsInFilter="1"/>
    <pivotField compact="0" numFmtId="10" outline="0" showAll="0" includeNewItemsInFilter="1"/>
    <pivotField compact="0" numFmtId="10" outline="0" showAll="0" includeNewItemsInFilter="1"/>
    <pivotField compact="0" numFmtId="10" outline="0" showAll="0" includeNewItemsInFilter="1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Median Sales Price_x000a_$'000s" fld="6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4" cacheId="6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D32:G37" firstHeaderRow="1" firstDataRow="2" firstDataCol="1"/>
  <pivotFields count="14"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 sortType="descending">
      <items count="3">
        <item x="0"/>
        <item x="1"/>
        <item t="default"/>
      </items>
    </pivotField>
    <pivotField axis="axisRow" compact="0" outline="0" showAll="0" includeNewItemsInFilter="1" sortType="ascending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0" outline="0" showAll="0" includeNewItemsInFilter="1"/>
    <pivotField dataField="1" compact="0" numFmtId="10" outline="0" showAll="0" includeNewItemsInFilter="1"/>
    <pivotField compact="0" numFmtId="10" outline="0" showAll="0" includeNewItemsInFilter="1"/>
    <pivotField compact="0" numFmtId="10" outline="0" showAll="0" includeNewItemsInFilter="1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Annual change in Median" fld="11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ww.facs.nsw.gov.au/" TargetMode="External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4_Document.doc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4"/>
  <sheetViews>
    <sheetView topLeftCell="A16" workbookViewId="0">
      <selection activeCell="L15" sqref="L15"/>
    </sheetView>
  </sheetViews>
  <sheetFormatPr baseColWidth="10" defaultRowHeight="15" x14ac:dyDescent="0.2"/>
  <cols>
    <col min="1" max="256" width="8.83203125" customWidth="1"/>
  </cols>
  <sheetData>
    <row r="1" spans="1:15" x14ac:dyDescent="0.2">
      <c r="A1" s="18"/>
      <c r="B1" s="24" t="s">
        <v>125</v>
      </c>
      <c r="C1" s="18"/>
      <c r="D1" s="5"/>
      <c r="E1" s="5"/>
      <c r="F1" s="5"/>
      <c r="G1" s="5"/>
      <c r="H1" s="5"/>
      <c r="I1" s="5"/>
      <c r="J1" s="17"/>
      <c r="K1" s="17"/>
      <c r="L1" s="17"/>
      <c r="M1" s="17"/>
      <c r="N1" s="17"/>
      <c r="O1" s="17"/>
    </row>
    <row r="2" spans="1:15" x14ac:dyDescent="0.2">
      <c r="A2" s="18"/>
      <c r="B2" s="24"/>
      <c r="C2" s="18"/>
      <c r="D2" s="5"/>
      <c r="E2" s="5"/>
      <c r="F2" s="5"/>
      <c r="G2" s="5"/>
      <c r="H2" s="5"/>
      <c r="I2" s="5"/>
      <c r="J2" s="17"/>
      <c r="K2" s="17"/>
      <c r="L2" s="17"/>
      <c r="M2" s="17"/>
      <c r="N2" s="17"/>
      <c r="O2" s="17"/>
    </row>
    <row r="3" spans="1:15" x14ac:dyDescent="0.2">
      <c r="A3" s="18"/>
      <c r="B3" s="23"/>
      <c r="C3" s="22" t="s">
        <v>113</v>
      </c>
      <c r="D3" s="5"/>
      <c r="E3" s="5"/>
      <c r="F3" s="5"/>
      <c r="G3" s="5"/>
      <c r="H3" s="5"/>
      <c r="I3" s="5"/>
      <c r="J3" s="17"/>
      <c r="K3" s="17"/>
      <c r="L3" s="17"/>
      <c r="M3" s="17"/>
      <c r="N3" s="17"/>
      <c r="O3" s="17"/>
    </row>
    <row r="4" spans="1:15" x14ac:dyDescent="0.2">
      <c r="A4" s="5"/>
      <c r="B4" s="21" t="s">
        <v>114</v>
      </c>
      <c r="C4" s="5"/>
      <c r="D4" s="5"/>
      <c r="E4" s="5"/>
      <c r="F4" s="5"/>
      <c r="G4" s="5"/>
      <c r="H4" s="5"/>
      <c r="I4" s="5"/>
      <c r="J4" s="17"/>
      <c r="K4" s="17"/>
      <c r="L4" s="17"/>
      <c r="M4" s="17"/>
      <c r="N4" s="17"/>
      <c r="O4" s="17"/>
    </row>
    <row r="5" spans="1:15" x14ac:dyDescent="0.2">
      <c r="A5" s="20" t="s">
        <v>115</v>
      </c>
      <c r="B5" s="5" t="s">
        <v>5</v>
      </c>
      <c r="C5" s="5"/>
      <c r="D5" s="5"/>
      <c r="E5" s="5"/>
      <c r="F5" s="5"/>
      <c r="G5" s="5"/>
      <c r="H5" s="5"/>
      <c r="I5" s="5"/>
      <c r="J5" s="17"/>
      <c r="K5" s="17"/>
      <c r="L5" s="17"/>
      <c r="M5" s="17"/>
      <c r="N5" s="17"/>
      <c r="O5" s="17"/>
    </row>
    <row r="6" spans="1:15" x14ac:dyDescent="0.2">
      <c r="A6" s="20" t="s">
        <v>116</v>
      </c>
      <c r="B6" s="5" t="s">
        <v>117</v>
      </c>
      <c r="C6" s="5"/>
      <c r="D6" s="5"/>
      <c r="E6" s="5"/>
      <c r="F6" s="5"/>
      <c r="G6" s="5"/>
      <c r="H6" s="5"/>
      <c r="I6" s="5"/>
      <c r="J6" s="17"/>
      <c r="K6" s="17"/>
      <c r="L6" s="17"/>
      <c r="M6" s="17"/>
      <c r="N6" s="17"/>
      <c r="O6" s="17"/>
    </row>
    <row r="7" spans="1:15" x14ac:dyDescent="0.2">
      <c r="A7" s="20" t="s">
        <v>118</v>
      </c>
      <c r="B7" s="5" t="s">
        <v>119</v>
      </c>
      <c r="C7" s="5"/>
      <c r="D7" s="5"/>
      <c r="E7" s="5"/>
      <c r="F7" s="5"/>
      <c r="G7" s="5"/>
      <c r="H7" s="5"/>
      <c r="I7" s="5"/>
      <c r="J7" s="17"/>
      <c r="K7" s="17"/>
      <c r="L7" s="17"/>
      <c r="M7" s="17"/>
      <c r="N7" s="17"/>
      <c r="O7" s="17"/>
    </row>
    <row r="8" spans="1:15" x14ac:dyDescent="0.2">
      <c r="A8" s="5"/>
      <c r="B8" s="5"/>
      <c r="C8" s="5"/>
      <c r="D8" s="5"/>
      <c r="E8" s="5"/>
      <c r="F8" s="5"/>
      <c r="G8" s="5"/>
      <c r="H8" s="5"/>
      <c r="I8" s="5"/>
      <c r="J8" s="17"/>
      <c r="K8" s="17"/>
      <c r="L8" s="17"/>
      <c r="M8" s="17"/>
      <c r="N8" s="17"/>
      <c r="O8" s="17"/>
    </row>
    <row r="9" spans="1:15" x14ac:dyDescent="0.2">
      <c r="A9" s="5"/>
      <c r="B9" s="5"/>
      <c r="C9" s="5"/>
      <c r="D9" s="5"/>
      <c r="E9" s="5"/>
      <c r="F9" s="5"/>
      <c r="G9" s="5"/>
      <c r="H9" s="5"/>
      <c r="I9" s="5"/>
      <c r="J9" s="17"/>
      <c r="K9" s="17"/>
      <c r="L9" s="17"/>
      <c r="M9" s="17"/>
      <c r="N9" s="17"/>
      <c r="O9" s="17"/>
    </row>
    <row r="10" spans="1:15" x14ac:dyDescent="0.2">
      <c r="A10" s="5"/>
      <c r="B10" s="18" t="s">
        <v>120</v>
      </c>
      <c r="C10" s="5"/>
      <c r="D10" s="5"/>
      <c r="E10" s="5"/>
      <c r="F10" s="5"/>
      <c r="G10" s="5"/>
      <c r="H10" s="5"/>
      <c r="I10" s="5"/>
      <c r="J10" s="17"/>
      <c r="K10" s="17"/>
      <c r="L10" s="17"/>
      <c r="M10" s="17"/>
      <c r="N10" s="17"/>
      <c r="O10" s="17"/>
    </row>
    <row r="11" spans="1:15" x14ac:dyDescent="0.2">
      <c r="A11" s="5"/>
      <c r="B11" s="19" t="s">
        <v>121</v>
      </c>
      <c r="C11" s="5"/>
      <c r="D11" s="5"/>
      <c r="E11" s="5"/>
      <c r="F11" s="5"/>
      <c r="G11" s="5"/>
      <c r="H11" s="5"/>
      <c r="I11" s="5"/>
      <c r="J11" s="17"/>
      <c r="K11" s="17"/>
      <c r="L11" s="17"/>
      <c r="M11" s="17"/>
      <c r="N11" s="17"/>
      <c r="O11" s="17"/>
    </row>
    <row r="12" spans="1:15" x14ac:dyDescent="0.2">
      <c r="A12" s="5"/>
      <c r="B12" s="18" t="s">
        <v>122</v>
      </c>
      <c r="C12" s="5"/>
      <c r="D12" s="5"/>
      <c r="E12" s="5"/>
      <c r="F12" s="5"/>
      <c r="G12" s="5"/>
      <c r="H12" s="5"/>
      <c r="I12" s="5"/>
      <c r="J12" s="17"/>
      <c r="K12" s="17"/>
      <c r="L12" s="17"/>
      <c r="M12" s="17"/>
      <c r="N12" s="17"/>
      <c r="O12" s="17"/>
    </row>
    <row r="13" spans="1:15" x14ac:dyDescent="0.2">
      <c r="A13" s="5"/>
      <c r="B13" s="18" t="s">
        <v>126</v>
      </c>
      <c r="C13" s="5"/>
      <c r="D13" s="5"/>
      <c r="E13" s="5"/>
      <c r="F13" s="5"/>
      <c r="G13" s="5"/>
      <c r="H13" s="5"/>
      <c r="I13" s="5"/>
      <c r="J13" s="17"/>
      <c r="K13" s="17"/>
      <c r="L13" s="17"/>
      <c r="M13" s="17"/>
      <c r="N13" s="17"/>
      <c r="O13" s="17"/>
    </row>
    <row r="14" spans="1:15" x14ac:dyDescent="0.2">
      <c r="A14" s="5"/>
      <c r="B14" s="18" t="s">
        <v>127</v>
      </c>
      <c r="C14" s="5"/>
      <c r="D14" s="5"/>
      <c r="E14" s="5"/>
      <c r="F14" s="5"/>
      <c r="G14" s="5"/>
      <c r="H14" s="5"/>
      <c r="I14" s="5"/>
      <c r="J14" s="17"/>
      <c r="K14" s="17"/>
      <c r="L14" s="17"/>
      <c r="M14" s="17"/>
      <c r="N14" s="17"/>
      <c r="O14" s="17"/>
    </row>
    <row r="15" spans="1:15" x14ac:dyDescent="0.2">
      <c r="A15" s="5"/>
      <c r="B15" s="5"/>
      <c r="C15" s="5"/>
      <c r="D15" s="5"/>
      <c r="E15" s="5"/>
      <c r="F15" s="5"/>
      <c r="G15" s="5"/>
      <c r="H15" s="5"/>
      <c r="I15" s="5"/>
      <c r="J15" s="17"/>
      <c r="K15" s="17"/>
      <c r="L15" s="17"/>
      <c r="M15" s="17"/>
      <c r="N15" s="17"/>
      <c r="O15" s="17"/>
    </row>
    <row r="16" spans="1:15" x14ac:dyDescent="0.2">
      <c r="A16" s="5"/>
      <c r="B16" s="5"/>
      <c r="C16" s="5"/>
      <c r="D16" s="5"/>
      <c r="E16" s="5"/>
      <c r="F16" s="5"/>
      <c r="G16" s="5"/>
      <c r="H16" s="5"/>
      <c r="I16" s="5"/>
      <c r="J16" s="17"/>
      <c r="K16" s="17"/>
      <c r="L16" s="17"/>
      <c r="M16" s="17"/>
      <c r="N16" s="17"/>
      <c r="O16" s="17"/>
    </row>
    <row r="17" spans="1:15" x14ac:dyDescent="0.2">
      <c r="A17" s="5"/>
      <c r="B17" s="5"/>
      <c r="C17" s="5"/>
      <c r="D17" s="5"/>
      <c r="E17" s="5"/>
      <c r="F17" s="5"/>
      <c r="G17" s="5"/>
      <c r="H17" s="5"/>
      <c r="I17" s="5"/>
      <c r="J17" s="17"/>
      <c r="K17" s="17"/>
      <c r="L17" s="17"/>
      <c r="M17" s="17"/>
      <c r="N17" s="17"/>
      <c r="O17" s="17"/>
    </row>
    <row r="18" spans="1:15" x14ac:dyDescent="0.2">
      <c r="A18" s="5"/>
      <c r="B18" s="5"/>
      <c r="C18" s="5"/>
      <c r="D18" s="5"/>
      <c r="E18" s="5"/>
      <c r="F18" s="5"/>
      <c r="G18" s="5"/>
      <c r="H18" s="5"/>
      <c r="I18" s="5"/>
      <c r="J18" s="17"/>
      <c r="K18" s="17"/>
      <c r="L18" s="17"/>
      <c r="M18" s="17"/>
      <c r="N18" s="17"/>
      <c r="O18" s="17"/>
    </row>
    <row r="19" spans="1:15" x14ac:dyDescent="0.2">
      <c r="A19" s="5"/>
      <c r="B19" s="5"/>
      <c r="C19" s="5"/>
      <c r="D19" s="5"/>
      <c r="E19" s="5"/>
      <c r="F19" s="5"/>
      <c r="G19" s="5"/>
      <c r="H19" s="5"/>
      <c r="I19" s="5"/>
      <c r="J19" s="17"/>
      <c r="K19" s="17"/>
      <c r="L19" s="17"/>
      <c r="M19" s="17"/>
      <c r="N19" s="17"/>
      <c r="O19" s="17"/>
    </row>
    <row r="20" spans="1:15" x14ac:dyDescent="0.2">
      <c r="A20" s="5"/>
      <c r="B20" s="5"/>
      <c r="C20" s="5"/>
      <c r="D20" s="5"/>
      <c r="E20" s="5"/>
      <c r="F20" s="5"/>
      <c r="G20" s="5"/>
      <c r="H20" s="5"/>
      <c r="I20" s="5"/>
      <c r="J20" s="17"/>
      <c r="K20" s="17"/>
      <c r="L20" s="17"/>
      <c r="M20" s="17"/>
      <c r="N20" s="17"/>
      <c r="O20" s="17"/>
    </row>
    <row r="21" spans="1:15" x14ac:dyDescent="0.2">
      <c r="A21" s="5"/>
      <c r="B21" s="5"/>
      <c r="C21" s="5"/>
      <c r="D21" s="5"/>
      <c r="E21" s="5"/>
      <c r="F21" s="5"/>
      <c r="G21" s="5"/>
      <c r="H21" s="5"/>
      <c r="I21" s="5"/>
      <c r="J21" s="17"/>
      <c r="K21" s="17"/>
      <c r="L21" s="17"/>
      <c r="M21" s="17"/>
      <c r="N21" s="17"/>
      <c r="O21" s="17"/>
    </row>
    <row r="22" spans="1:15" x14ac:dyDescent="0.2">
      <c r="A22" s="5"/>
      <c r="B22" s="5"/>
      <c r="C22" s="5"/>
      <c r="D22" s="5"/>
      <c r="E22" s="5"/>
      <c r="F22" s="5"/>
      <c r="G22" s="5"/>
      <c r="H22" s="5"/>
      <c r="I22" s="5"/>
      <c r="J22" s="17"/>
      <c r="K22" s="17"/>
      <c r="L22" s="17"/>
      <c r="M22" s="17"/>
      <c r="N22" s="17"/>
      <c r="O22" s="17"/>
    </row>
    <row r="23" spans="1:15" x14ac:dyDescent="0.2">
      <c r="A23" s="5"/>
      <c r="B23" s="5"/>
      <c r="C23" s="5"/>
      <c r="D23" s="5"/>
      <c r="E23" s="5"/>
      <c r="F23" s="5"/>
      <c r="G23" s="5"/>
      <c r="H23" s="5"/>
      <c r="I23" s="5"/>
      <c r="J23" s="17"/>
      <c r="K23" s="17"/>
      <c r="L23" s="17"/>
      <c r="M23" s="17"/>
      <c r="N23" s="17"/>
      <c r="O23" s="17"/>
    </row>
    <row r="24" spans="1:15" x14ac:dyDescent="0.2">
      <c r="A24" s="5"/>
      <c r="B24" s="5"/>
      <c r="C24" s="5"/>
      <c r="D24" s="5"/>
      <c r="E24" s="5"/>
      <c r="F24" s="5"/>
      <c r="G24" s="5"/>
      <c r="H24" s="5"/>
      <c r="I24" s="5"/>
      <c r="J24" s="17"/>
      <c r="K24" s="17"/>
      <c r="L24" s="17"/>
      <c r="M24" s="17"/>
      <c r="N24" s="17"/>
      <c r="O24" s="17"/>
    </row>
    <row r="25" spans="1:15" x14ac:dyDescent="0.2">
      <c r="A25" s="5"/>
      <c r="B25" s="5"/>
      <c r="C25" s="5"/>
      <c r="D25" s="5"/>
      <c r="E25" s="5"/>
      <c r="F25" s="5"/>
      <c r="G25" s="5"/>
      <c r="H25" s="5"/>
      <c r="I25" s="5"/>
      <c r="J25" s="17"/>
      <c r="K25" s="17"/>
      <c r="L25" s="17"/>
      <c r="M25" s="17"/>
      <c r="N25" s="17"/>
      <c r="O25" s="17"/>
    </row>
    <row r="26" spans="1:15" x14ac:dyDescent="0.2">
      <c r="A26" s="5"/>
      <c r="B26" s="5"/>
      <c r="C26" s="5"/>
      <c r="D26" s="5"/>
      <c r="E26" s="5"/>
      <c r="F26" s="5"/>
      <c r="G26" s="5"/>
      <c r="H26" s="5"/>
      <c r="I26" s="5"/>
      <c r="J26" s="17"/>
      <c r="K26" s="17"/>
      <c r="L26" s="17"/>
      <c r="M26" s="17"/>
      <c r="N26" s="17"/>
      <c r="O26" s="17"/>
    </row>
    <row r="27" spans="1:15" x14ac:dyDescent="0.2">
      <c r="A27" s="5"/>
      <c r="B27" s="5"/>
      <c r="C27" s="5"/>
      <c r="D27" s="5"/>
      <c r="E27" s="5"/>
      <c r="F27" s="5"/>
      <c r="G27" s="5"/>
      <c r="H27" s="5"/>
      <c r="I27" s="5"/>
      <c r="J27" s="17"/>
      <c r="K27" s="17"/>
      <c r="L27" s="17"/>
      <c r="M27" s="17"/>
      <c r="N27" s="17"/>
      <c r="O27" s="17"/>
    </row>
    <row r="28" spans="1:15" x14ac:dyDescent="0.2">
      <c r="A28" s="5"/>
      <c r="B28" s="5"/>
      <c r="C28" s="5"/>
      <c r="D28" s="5"/>
      <c r="E28" s="5"/>
      <c r="F28" s="5"/>
      <c r="G28" s="5"/>
      <c r="H28" s="5"/>
      <c r="I28" s="5"/>
      <c r="J28" s="17"/>
      <c r="K28" s="17"/>
      <c r="L28" s="17"/>
      <c r="M28" s="17"/>
      <c r="N28" s="17"/>
      <c r="O28" s="17"/>
    </row>
    <row r="29" spans="1:15" x14ac:dyDescent="0.2">
      <c r="A29" s="5"/>
      <c r="B29" s="5"/>
      <c r="C29" s="5"/>
      <c r="D29" s="5"/>
      <c r="E29" s="5"/>
      <c r="F29" s="5"/>
      <c r="G29" s="5"/>
      <c r="H29" s="5"/>
      <c r="I29" s="5"/>
      <c r="J29" s="17"/>
      <c r="K29" s="17"/>
      <c r="L29" s="17"/>
      <c r="M29" s="17"/>
      <c r="N29" s="17"/>
      <c r="O29" s="17"/>
    </row>
    <row r="30" spans="1:15" x14ac:dyDescent="0.2">
      <c r="A30" s="5"/>
      <c r="B30" s="5"/>
      <c r="C30" s="5"/>
      <c r="D30" s="5"/>
      <c r="E30" s="5"/>
      <c r="F30" s="5"/>
      <c r="G30" s="5"/>
      <c r="H30" s="5"/>
      <c r="I30" s="5"/>
      <c r="J30" s="17"/>
      <c r="K30" s="17"/>
      <c r="L30" s="17"/>
      <c r="M30" s="17"/>
      <c r="N30" s="17"/>
      <c r="O30" s="17"/>
    </row>
    <row r="31" spans="1:15" x14ac:dyDescent="0.2">
      <c r="A31" s="5"/>
      <c r="B31" s="5"/>
      <c r="C31" s="5"/>
      <c r="D31" s="5"/>
      <c r="E31" s="5"/>
      <c r="F31" s="5"/>
      <c r="G31" s="5"/>
      <c r="H31" s="5"/>
      <c r="I31" s="5"/>
      <c r="J31" s="17"/>
      <c r="K31" s="17"/>
      <c r="L31" s="17"/>
      <c r="M31" s="17"/>
      <c r="N31" s="17"/>
      <c r="O31" s="17"/>
    </row>
    <row r="32" spans="1:15" x14ac:dyDescent="0.2">
      <c r="A32" s="5"/>
      <c r="B32" s="5"/>
      <c r="C32" s="5"/>
      <c r="D32" s="5"/>
      <c r="E32" s="5"/>
      <c r="F32" s="5"/>
      <c r="G32" s="5"/>
      <c r="H32" s="5"/>
      <c r="I32" s="5"/>
      <c r="J32" s="17"/>
      <c r="K32" s="17"/>
      <c r="L32" s="17"/>
      <c r="M32" s="17"/>
      <c r="N32" s="17"/>
      <c r="O32" s="17"/>
    </row>
    <row r="33" spans="1:15" x14ac:dyDescent="0.2">
      <c r="A33" s="5"/>
      <c r="B33" s="5"/>
      <c r="C33" s="5"/>
      <c r="D33" s="5"/>
      <c r="E33" s="5"/>
      <c r="F33" s="5"/>
      <c r="G33" s="5"/>
      <c r="H33" s="5"/>
      <c r="I33" s="5"/>
      <c r="J33" s="17"/>
      <c r="K33" s="17"/>
      <c r="L33" s="17"/>
      <c r="M33" s="17"/>
      <c r="N33" s="17"/>
      <c r="O33" s="17"/>
    </row>
    <row r="34" spans="1:15" x14ac:dyDescent="0.2">
      <c r="A34" s="5"/>
      <c r="B34" s="5"/>
      <c r="C34" s="5"/>
      <c r="D34" s="5"/>
      <c r="E34" s="5"/>
      <c r="F34" s="5"/>
      <c r="G34" s="5"/>
      <c r="H34" s="5"/>
      <c r="I34" s="5"/>
      <c r="J34" s="17"/>
      <c r="K34" s="17"/>
      <c r="L34" s="17"/>
      <c r="M34" s="17"/>
      <c r="N34" s="17"/>
      <c r="O34" s="17"/>
    </row>
    <row r="35" spans="1:15" x14ac:dyDescent="0.2">
      <c r="A35" s="5"/>
      <c r="B35" s="5"/>
      <c r="C35" s="5"/>
      <c r="D35" s="5"/>
      <c r="E35" s="5"/>
      <c r="F35" s="5"/>
      <c r="G35" s="5"/>
      <c r="H35" s="5"/>
      <c r="I35" s="5"/>
      <c r="J35" s="17"/>
      <c r="K35" s="17"/>
      <c r="L35" s="17"/>
      <c r="M35" s="17"/>
      <c r="N35" s="17"/>
      <c r="O35" s="17"/>
    </row>
    <row r="36" spans="1:15" x14ac:dyDescent="0.2">
      <c r="A36" s="5"/>
      <c r="B36" s="5"/>
      <c r="C36" s="5"/>
      <c r="D36" s="5"/>
      <c r="E36" s="5"/>
      <c r="F36" s="5"/>
      <c r="G36" s="5"/>
      <c r="H36" s="5"/>
      <c r="I36" s="5"/>
      <c r="J36" s="17"/>
      <c r="K36" s="17"/>
      <c r="L36" s="17"/>
      <c r="M36" s="17"/>
      <c r="N36" s="17"/>
      <c r="O36" s="17"/>
    </row>
    <row r="37" spans="1:15" x14ac:dyDescent="0.2">
      <c r="A37" s="5"/>
      <c r="B37" s="5"/>
      <c r="C37" s="5"/>
      <c r="D37" s="5"/>
      <c r="E37" s="5"/>
      <c r="F37" s="5"/>
      <c r="G37" s="5"/>
      <c r="H37" s="5"/>
      <c r="I37" s="5"/>
      <c r="J37" s="17"/>
      <c r="K37" s="17"/>
      <c r="L37" s="17"/>
      <c r="M37" s="17"/>
      <c r="N37" s="17"/>
      <c r="O37" s="17"/>
    </row>
    <row r="38" spans="1:15" x14ac:dyDescent="0.2">
      <c r="A38" s="5"/>
      <c r="B38" s="5"/>
      <c r="C38" s="5"/>
      <c r="D38" s="5"/>
      <c r="E38" s="5"/>
      <c r="F38" s="5"/>
      <c r="G38" s="5"/>
      <c r="H38" s="5"/>
      <c r="I38" s="5"/>
      <c r="J38" s="17"/>
      <c r="K38" s="17"/>
      <c r="L38" s="17"/>
      <c r="M38" s="17"/>
      <c r="N38" s="17"/>
      <c r="O38" s="17"/>
    </row>
    <row r="39" spans="1:15" x14ac:dyDescent="0.2">
      <c r="A39" s="5"/>
      <c r="B39" s="5"/>
      <c r="C39" s="5"/>
      <c r="D39" s="5"/>
      <c r="E39" s="5"/>
      <c r="F39" s="5"/>
      <c r="G39" s="5"/>
      <c r="H39" s="5"/>
      <c r="I39" s="5"/>
      <c r="J39" s="17"/>
      <c r="K39" s="17"/>
      <c r="L39" s="17"/>
      <c r="M39" s="17"/>
      <c r="N39" s="17"/>
      <c r="O39" s="17"/>
    </row>
    <row r="40" spans="1:15" x14ac:dyDescent="0.2">
      <c r="A40" s="5"/>
      <c r="B40" s="5"/>
      <c r="C40" s="5"/>
      <c r="D40" s="5"/>
      <c r="E40" s="5"/>
      <c r="F40" s="5"/>
      <c r="G40" s="5"/>
      <c r="H40" s="5"/>
      <c r="I40" s="5"/>
      <c r="J40" s="17"/>
      <c r="K40" s="17"/>
      <c r="L40" s="17"/>
      <c r="M40" s="17"/>
      <c r="N40" s="17"/>
      <c r="O40" s="17"/>
    </row>
    <row r="41" spans="1:15" x14ac:dyDescent="0.2">
      <c r="A41" s="5"/>
      <c r="B41" s="5"/>
      <c r="C41" s="5"/>
      <c r="D41" s="5"/>
      <c r="E41" s="5"/>
      <c r="F41" s="5"/>
      <c r="G41" s="5"/>
      <c r="H41" s="5"/>
      <c r="I41" s="5"/>
      <c r="J41" s="17"/>
      <c r="K41" s="17"/>
      <c r="L41" s="17"/>
      <c r="M41" s="17"/>
      <c r="N41" s="17"/>
      <c r="O41" s="17"/>
    </row>
    <row r="42" spans="1:15" x14ac:dyDescent="0.2">
      <c r="A42" s="5"/>
      <c r="B42" s="5"/>
      <c r="C42" s="5"/>
      <c r="D42" s="5"/>
      <c r="E42" s="5"/>
      <c r="F42" s="5"/>
      <c r="G42" s="5"/>
      <c r="H42" s="5"/>
      <c r="I42" s="5"/>
      <c r="J42" s="17"/>
      <c r="K42" s="17"/>
      <c r="L42" s="17"/>
      <c r="M42" s="17"/>
      <c r="N42" s="17"/>
      <c r="O42" s="17"/>
    </row>
    <row r="43" spans="1:15" x14ac:dyDescent="0.2">
      <c r="A43" s="5"/>
      <c r="B43" s="5"/>
      <c r="C43" s="5"/>
      <c r="D43" s="5"/>
      <c r="E43" s="5"/>
      <c r="F43" s="5"/>
      <c r="G43" s="5"/>
      <c r="H43" s="5"/>
      <c r="I43" s="5"/>
      <c r="J43" s="17"/>
      <c r="K43" s="17"/>
      <c r="L43" s="17"/>
      <c r="M43" s="17"/>
      <c r="N43" s="17"/>
      <c r="O43" s="17"/>
    </row>
    <row r="44" spans="1:15" x14ac:dyDescent="0.2">
      <c r="A44" s="5"/>
      <c r="B44" s="5"/>
      <c r="C44" s="5"/>
      <c r="D44" s="5"/>
      <c r="E44" s="5"/>
      <c r="F44" s="5"/>
      <c r="G44" s="5"/>
      <c r="H44" s="5"/>
      <c r="I44" s="5"/>
      <c r="J44" s="17"/>
      <c r="K44" s="17"/>
      <c r="L44" s="17"/>
      <c r="M44" s="17"/>
      <c r="N44" s="17"/>
      <c r="O44" s="17"/>
    </row>
    <row r="45" spans="1:15" x14ac:dyDescent="0.2">
      <c r="A45" s="5"/>
      <c r="B45" s="5"/>
      <c r="C45" s="5"/>
      <c r="D45" s="5"/>
      <c r="E45" s="5"/>
      <c r="F45" s="5"/>
      <c r="G45" s="5"/>
      <c r="H45" s="5"/>
      <c r="I45" s="5"/>
      <c r="J45" s="17"/>
      <c r="K45" s="17"/>
      <c r="L45" s="17"/>
      <c r="M45" s="17"/>
      <c r="N45" s="17"/>
      <c r="O45" s="17"/>
    </row>
    <row r="46" spans="1:15" x14ac:dyDescent="0.2">
      <c r="A46" s="5"/>
      <c r="B46" s="5"/>
      <c r="C46" s="5"/>
      <c r="D46" s="5"/>
      <c r="E46" s="5"/>
      <c r="F46" s="5"/>
      <c r="G46" s="5"/>
      <c r="H46" s="5"/>
      <c r="I46" s="5"/>
      <c r="J46" s="17"/>
      <c r="K46" s="17"/>
      <c r="L46" s="17"/>
      <c r="M46" s="17"/>
      <c r="N46" s="17"/>
      <c r="O46" s="17"/>
    </row>
    <row r="47" spans="1:15" x14ac:dyDescent="0.2">
      <c r="A47" s="5"/>
      <c r="B47" s="5"/>
      <c r="C47" s="5"/>
      <c r="D47" s="5"/>
      <c r="E47" s="5"/>
      <c r="F47" s="5"/>
      <c r="G47" s="5"/>
      <c r="H47" s="5"/>
      <c r="I47" s="5"/>
      <c r="J47" s="17"/>
      <c r="K47" s="17"/>
      <c r="L47" s="17"/>
      <c r="M47" s="17"/>
      <c r="N47" s="17"/>
      <c r="O47" s="17"/>
    </row>
    <row r="48" spans="1:15" x14ac:dyDescent="0.2">
      <c r="A48" s="5"/>
      <c r="B48" s="5"/>
      <c r="C48" s="5"/>
      <c r="D48" s="5"/>
      <c r="E48" s="5"/>
      <c r="F48" s="5"/>
      <c r="G48" s="5"/>
      <c r="H48" s="5"/>
      <c r="I48" s="5"/>
      <c r="J48" s="17"/>
      <c r="K48" s="17"/>
      <c r="L48" s="17"/>
      <c r="M48" s="17"/>
      <c r="N48" s="17"/>
      <c r="O48" s="17"/>
    </row>
    <row r="49" spans="1:15" x14ac:dyDescent="0.2">
      <c r="A49" s="5"/>
      <c r="B49" s="5"/>
      <c r="C49" s="5"/>
      <c r="D49" s="5"/>
      <c r="E49" s="5"/>
      <c r="F49" s="5"/>
      <c r="G49" s="5"/>
      <c r="H49" s="5"/>
      <c r="I49" s="5"/>
      <c r="J49" s="17"/>
      <c r="K49" s="17"/>
      <c r="L49" s="17"/>
      <c r="M49" s="17"/>
      <c r="N49" s="17"/>
      <c r="O49" s="17"/>
    </row>
    <row r="50" spans="1:15" x14ac:dyDescent="0.2">
      <c r="A50" s="5"/>
      <c r="B50" s="5"/>
      <c r="C50" s="5"/>
      <c r="D50" s="5"/>
      <c r="E50" s="5"/>
      <c r="F50" s="5"/>
      <c r="G50" s="5"/>
      <c r="H50" s="5"/>
      <c r="I50" s="5"/>
      <c r="J50" s="17"/>
      <c r="K50" s="17"/>
      <c r="L50" s="17"/>
      <c r="M50" s="17"/>
      <c r="N50" s="17"/>
      <c r="O50" s="17"/>
    </row>
    <row r="51" spans="1:15" x14ac:dyDescent="0.2">
      <c r="A51" s="5"/>
      <c r="B51" s="5"/>
      <c r="C51" s="5"/>
      <c r="D51" s="5"/>
      <c r="E51" s="5"/>
      <c r="F51" s="5"/>
      <c r="G51" s="5"/>
      <c r="H51" s="5"/>
      <c r="I51" s="5"/>
      <c r="J51" s="17"/>
      <c r="K51" s="17"/>
      <c r="L51" s="17"/>
      <c r="M51" s="17"/>
      <c r="N51" s="17"/>
      <c r="O51" s="17"/>
    </row>
    <row r="52" spans="1:15" x14ac:dyDescent="0.2">
      <c r="A52" s="5"/>
      <c r="B52" s="5"/>
      <c r="C52" s="5"/>
      <c r="D52" s="5"/>
      <c r="E52" s="5"/>
      <c r="F52" s="5"/>
      <c r="G52" s="5"/>
      <c r="H52" s="5"/>
      <c r="I52" s="5"/>
      <c r="J52" s="17"/>
      <c r="K52" s="17"/>
      <c r="L52" s="17"/>
      <c r="M52" s="17"/>
      <c r="N52" s="17"/>
      <c r="O52" s="17"/>
    </row>
    <row r="53" spans="1:15" x14ac:dyDescent="0.2">
      <c r="A53" s="5"/>
      <c r="B53" s="5"/>
      <c r="C53" s="5"/>
      <c r="D53" s="5"/>
      <c r="E53" s="5"/>
      <c r="F53" s="5"/>
      <c r="G53" s="5"/>
      <c r="H53" s="5"/>
      <c r="I53" s="5"/>
      <c r="J53" s="17"/>
      <c r="K53" s="17"/>
      <c r="L53" s="17"/>
      <c r="M53" s="17"/>
      <c r="N53" s="17"/>
      <c r="O53" s="17"/>
    </row>
    <row r="54" spans="1:15" x14ac:dyDescent="0.2">
      <c r="A54" s="5"/>
      <c r="B54" s="5"/>
      <c r="C54" s="5"/>
      <c r="D54" s="5"/>
      <c r="E54" s="5"/>
      <c r="F54" s="5"/>
      <c r="G54" s="5"/>
      <c r="H54" s="5"/>
      <c r="I54" s="5"/>
      <c r="J54" s="17"/>
      <c r="K54" s="17"/>
      <c r="L54" s="17"/>
      <c r="M54" s="17"/>
      <c r="N54" s="17"/>
      <c r="O54" s="17"/>
    </row>
  </sheetData>
  <hyperlinks>
    <hyperlink ref="A5" location="ad!A1" display="ad!A1"/>
    <hyperlink ref="A6" location="ns!A1" display="ns!A1"/>
    <hyperlink ref="A7" location="s!A1" display="s!A1"/>
    <hyperlink ref="B11" r:id="rId1"/>
  </hyperlinks>
  <pageMargins left="0.7" right="0.7" top="0.75" bottom="0.75" header="0.3" footer="0.3"/>
  <pageSetup paperSize="9" orientation="portrait"/>
  <drawing r:id="rId2"/>
  <legacyDrawing r:id="rId3"/>
  <oleObjects>
    <mc:AlternateContent xmlns:mc="http://schemas.openxmlformats.org/markup-compatibility/2006">
      <mc:Choice Requires="x14">
        <oleObject progId="Word.Document.8" shapeId="4097" r:id="rId4">
          <objectPr defaultSize="0" r:id="rId5">
            <anchor moveWithCells="1" sizeWithCells="1">
              <from>
                <xdr:col>0</xdr:col>
                <xdr:colOff>266700</xdr:colOff>
                <xdr:row>17</xdr:row>
                <xdr:rowOff>63500</xdr:rowOff>
              </from>
              <to>
                <xdr:col>9</xdr:col>
                <xdr:colOff>12700</xdr:colOff>
                <xdr:row>43</xdr:row>
                <xdr:rowOff>101600</xdr:rowOff>
              </to>
            </anchor>
          </objectPr>
        </oleObject>
      </mc:Choice>
      <mc:Fallback>
        <oleObject progId="Word.Document.8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10"/>
  <sheetViews>
    <sheetView topLeftCell="A3" workbookViewId="0">
      <selection activeCell="E30" sqref="E30"/>
    </sheetView>
  </sheetViews>
  <sheetFormatPr baseColWidth="10" defaultRowHeight="15" x14ac:dyDescent="0.2"/>
  <sheetData>
    <row r="4" spans="2:4" x14ac:dyDescent="0.2">
      <c r="B4" s="3" t="s">
        <v>96</v>
      </c>
      <c r="C4" s="39" t="s">
        <v>177</v>
      </c>
      <c r="D4" s="41" t="s">
        <v>178</v>
      </c>
    </row>
    <row r="5" spans="2:4" x14ac:dyDescent="0.2">
      <c r="B5" s="16">
        <v>33298</v>
      </c>
      <c r="C5" s="9">
        <v>176</v>
      </c>
      <c r="D5" s="45">
        <v>371.72679509632223</v>
      </c>
    </row>
    <row r="6" spans="2:4" x14ac:dyDescent="0.2">
      <c r="B6" s="16">
        <v>33390</v>
      </c>
      <c r="C6" s="9">
        <v>175</v>
      </c>
      <c r="D6" s="45">
        <v>368.96853146853147</v>
      </c>
    </row>
    <row r="7" spans="2:4" x14ac:dyDescent="0.2">
      <c r="B7" s="16">
        <v>33482</v>
      </c>
      <c r="C7" s="9">
        <v>180</v>
      </c>
      <c r="D7" s="45">
        <v>386.95187165775394</v>
      </c>
    </row>
    <row r="8" spans="2:4" x14ac:dyDescent="0.2">
      <c r="B8" s="16">
        <v>33573</v>
      </c>
      <c r="C8" s="9">
        <v>185</v>
      </c>
      <c r="D8" s="45">
        <v>399.12343470483006</v>
      </c>
    </row>
    <row r="9" spans="2:4" x14ac:dyDescent="0.2">
      <c r="B9" s="16">
        <v>33664</v>
      </c>
      <c r="C9" s="9">
        <v>182</v>
      </c>
      <c r="D9" s="45">
        <v>400.53284671532845</v>
      </c>
    </row>
    <row r="10" spans="2:4" x14ac:dyDescent="0.2">
      <c r="B10" s="16">
        <v>33756</v>
      </c>
      <c r="C10" s="9">
        <v>185</v>
      </c>
      <c r="D10" s="45">
        <v>413.16666666666669</v>
      </c>
    </row>
    <row r="11" spans="2:4" x14ac:dyDescent="0.2">
      <c r="B11" s="16">
        <v>33848</v>
      </c>
      <c r="C11" s="9">
        <v>187</v>
      </c>
      <c r="D11" s="45">
        <v>423.11819887429641</v>
      </c>
    </row>
    <row r="12" spans="2:4" x14ac:dyDescent="0.2">
      <c r="B12" s="16">
        <v>33939</v>
      </c>
      <c r="C12" s="9">
        <v>195</v>
      </c>
      <c r="D12" s="45">
        <v>443.71698113207543</v>
      </c>
    </row>
    <row r="13" spans="2:4" x14ac:dyDescent="0.2">
      <c r="B13" s="16">
        <v>34029</v>
      </c>
      <c r="C13" s="9">
        <v>192</v>
      </c>
      <c r="D13" s="45">
        <v>434.43151969981238</v>
      </c>
    </row>
    <row r="14" spans="2:4" x14ac:dyDescent="0.2">
      <c r="B14" s="16">
        <v>34121</v>
      </c>
      <c r="C14" s="9">
        <v>195</v>
      </c>
      <c r="D14" s="45">
        <v>437.93296089385473</v>
      </c>
    </row>
    <row r="15" spans="2:4" x14ac:dyDescent="0.2">
      <c r="B15" s="16">
        <v>34213</v>
      </c>
      <c r="C15" s="9">
        <v>201</v>
      </c>
      <c r="D15" s="45">
        <v>451.40782122905028</v>
      </c>
    </row>
    <row r="16" spans="2:4" x14ac:dyDescent="0.2">
      <c r="B16" s="16">
        <v>34304</v>
      </c>
      <c r="C16" s="9">
        <v>198</v>
      </c>
      <c r="D16" s="45">
        <v>452.25</v>
      </c>
    </row>
    <row r="17" spans="2:4" x14ac:dyDescent="0.2">
      <c r="B17" s="16">
        <v>34394</v>
      </c>
      <c r="C17" s="9">
        <v>200</v>
      </c>
      <c r="D17" s="45">
        <v>455.95463137996217</v>
      </c>
    </row>
    <row r="18" spans="2:4" x14ac:dyDescent="0.2">
      <c r="B18" s="16">
        <v>34486</v>
      </c>
      <c r="C18" s="9">
        <v>205</v>
      </c>
      <c r="D18" s="45">
        <v>462.11214953271025</v>
      </c>
    </row>
    <row r="19" spans="2:4" x14ac:dyDescent="0.2">
      <c r="B19" s="16">
        <v>34578</v>
      </c>
      <c r="C19" s="9">
        <v>220</v>
      </c>
      <c r="D19" s="45">
        <v>491.33333333333337</v>
      </c>
    </row>
    <row r="20" spans="2:4" x14ac:dyDescent="0.2">
      <c r="B20" s="16">
        <v>34669</v>
      </c>
      <c r="C20" s="9">
        <v>214</v>
      </c>
      <c r="D20" s="45">
        <v>466.69801084990962</v>
      </c>
    </row>
    <row r="21" spans="2:4" x14ac:dyDescent="0.2">
      <c r="B21" s="16">
        <v>34759</v>
      </c>
      <c r="C21" s="9">
        <v>232</v>
      </c>
      <c r="D21" s="45">
        <v>479.91766723842193</v>
      </c>
    </row>
    <row r="22" spans="2:4" x14ac:dyDescent="0.2">
      <c r="B22" s="16">
        <v>34851</v>
      </c>
      <c r="C22" s="9">
        <v>226</v>
      </c>
      <c r="D22" s="45">
        <v>458.07731092436973</v>
      </c>
    </row>
    <row r="23" spans="2:4" x14ac:dyDescent="0.2">
      <c r="B23" s="16">
        <v>34943</v>
      </c>
      <c r="C23" s="9">
        <v>232</v>
      </c>
      <c r="D23" s="45">
        <v>466.31999999999994</v>
      </c>
    </row>
    <row r="24" spans="2:4" x14ac:dyDescent="0.2">
      <c r="B24" s="16">
        <v>35034</v>
      </c>
      <c r="C24" s="9">
        <v>221</v>
      </c>
      <c r="D24" s="45">
        <v>440.53884297520659</v>
      </c>
    </row>
    <row r="25" spans="2:4" x14ac:dyDescent="0.2">
      <c r="B25" s="16">
        <v>35125</v>
      </c>
      <c r="C25" s="9">
        <v>228</v>
      </c>
      <c r="D25" s="45">
        <v>450.76721311475404</v>
      </c>
    </row>
    <row r="26" spans="2:4" x14ac:dyDescent="0.2">
      <c r="B26" s="16">
        <v>35217</v>
      </c>
      <c r="C26" s="9">
        <v>223</v>
      </c>
      <c r="D26" s="45">
        <v>438.00977198697069</v>
      </c>
    </row>
    <row r="27" spans="2:4" x14ac:dyDescent="0.2">
      <c r="B27" s="16">
        <v>35309</v>
      </c>
      <c r="C27" s="9">
        <v>223</v>
      </c>
      <c r="D27" s="45">
        <v>436.58766233766232</v>
      </c>
    </row>
    <row r="28" spans="2:4" x14ac:dyDescent="0.2">
      <c r="B28" s="16">
        <v>35400</v>
      </c>
      <c r="C28" s="9">
        <v>228</v>
      </c>
      <c r="D28" s="45">
        <v>457.51747088186357</v>
      </c>
    </row>
    <row r="29" spans="2:4" x14ac:dyDescent="0.2">
      <c r="B29" s="16">
        <v>35490</v>
      </c>
      <c r="C29" s="9">
        <v>232</v>
      </c>
      <c r="D29" s="45">
        <v>477.46075085324225</v>
      </c>
    </row>
    <row r="30" spans="2:4" x14ac:dyDescent="0.2">
      <c r="B30" s="16">
        <v>35582</v>
      </c>
      <c r="C30" s="9">
        <v>243</v>
      </c>
      <c r="D30" s="45">
        <v>515.94718309859161</v>
      </c>
    </row>
    <row r="31" spans="2:4" x14ac:dyDescent="0.2">
      <c r="B31" s="16">
        <v>35674</v>
      </c>
      <c r="C31" s="9">
        <v>265</v>
      </c>
      <c r="D31" s="45">
        <v>564.64664310954061</v>
      </c>
    </row>
    <row r="32" spans="2:4" x14ac:dyDescent="0.2">
      <c r="B32" s="16">
        <v>35765</v>
      </c>
      <c r="C32" s="9">
        <v>274</v>
      </c>
      <c r="D32" s="45">
        <v>591.13416815742403</v>
      </c>
    </row>
    <row r="33" spans="2:4" x14ac:dyDescent="0.2">
      <c r="B33" s="16">
        <v>35855</v>
      </c>
      <c r="C33" s="9">
        <v>276</v>
      </c>
      <c r="D33" s="45">
        <v>594.38571428571424</v>
      </c>
    </row>
    <row r="34" spans="2:4" x14ac:dyDescent="0.2">
      <c r="B34" s="16">
        <v>35947</v>
      </c>
      <c r="C34" s="9">
        <v>278</v>
      </c>
      <c r="D34" s="45">
        <v>592.34628975265014</v>
      </c>
    </row>
    <row r="35" spans="2:4" x14ac:dyDescent="0.2">
      <c r="B35" s="16">
        <v>36039</v>
      </c>
      <c r="C35" s="9">
        <v>276</v>
      </c>
      <c r="D35" s="45">
        <v>581.91608391608395</v>
      </c>
    </row>
    <row r="36" spans="2:4" x14ac:dyDescent="0.2">
      <c r="B36" s="16">
        <v>36130</v>
      </c>
      <c r="C36" s="9">
        <v>280</v>
      </c>
      <c r="D36" s="45">
        <v>589.3193717277486</v>
      </c>
    </row>
    <row r="37" spans="2:4" x14ac:dyDescent="0.2">
      <c r="B37" s="16">
        <v>36220</v>
      </c>
      <c r="C37" s="9">
        <v>309</v>
      </c>
      <c r="D37" s="45">
        <v>642.50689655172414</v>
      </c>
    </row>
    <row r="38" spans="2:4" x14ac:dyDescent="0.2">
      <c r="B38" s="16">
        <v>36312</v>
      </c>
      <c r="C38" s="9">
        <v>316</v>
      </c>
      <c r="D38" s="45">
        <v>654.80412371134014</v>
      </c>
    </row>
    <row r="39" spans="2:4" x14ac:dyDescent="0.2">
      <c r="B39" s="16">
        <v>36404</v>
      </c>
      <c r="C39" s="9">
        <v>315</v>
      </c>
      <c r="D39" s="45">
        <v>642.79187817258878</v>
      </c>
    </row>
    <row r="40" spans="2:4" x14ac:dyDescent="0.2">
      <c r="B40" s="16">
        <v>36495</v>
      </c>
      <c r="C40" s="9">
        <v>323</v>
      </c>
      <c r="D40" s="45">
        <v>650.31385642737894</v>
      </c>
    </row>
    <row r="41" spans="2:4" x14ac:dyDescent="0.2">
      <c r="B41" s="16">
        <v>36586</v>
      </c>
      <c r="C41" s="9">
        <v>328</v>
      </c>
      <c r="D41" s="45">
        <v>652.75247524752467</v>
      </c>
    </row>
    <row r="42" spans="2:4" x14ac:dyDescent="0.2">
      <c r="B42" s="16">
        <v>36678</v>
      </c>
      <c r="C42" s="9">
        <v>356</v>
      </c>
      <c r="D42" s="45">
        <v>701.52941176470586</v>
      </c>
    </row>
    <row r="43" spans="2:4" x14ac:dyDescent="0.2">
      <c r="B43" s="16">
        <v>36770</v>
      </c>
      <c r="C43" s="9">
        <v>333</v>
      </c>
      <c r="D43" s="45">
        <v>620.70788253477576</v>
      </c>
    </row>
    <row r="44" spans="2:4" x14ac:dyDescent="0.2">
      <c r="B44" s="16">
        <v>36861</v>
      </c>
      <c r="C44" s="9">
        <v>340</v>
      </c>
      <c r="D44" s="45">
        <v>632.77777777777783</v>
      </c>
    </row>
    <row r="45" spans="2:4" x14ac:dyDescent="0.2">
      <c r="B45" s="16">
        <v>36951</v>
      </c>
      <c r="C45" s="9">
        <v>350</v>
      </c>
      <c r="D45" s="45">
        <v>649.38461538461536</v>
      </c>
    </row>
    <row r="46" spans="2:4" x14ac:dyDescent="0.2">
      <c r="B46" s="16">
        <v>37043</v>
      </c>
      <c r="C46" s="9">
        <v>374</v>
      </c>
      <c r="D46" s="45">
        <v>689.66972477064212</v>
      </c>
    </row>
    <row r="47" spans="2:4" x14ac:dyDescent="0.2">
      <c r="B47" s="16">
        <v>37135</v>
      </c>
      <c r="C47" s="9">
        <v>385</v>
      </c>
      <c r="D47" s="45">
        <v>703.5</v>
      </c>
    </row>
    <row r="48" spans="2:4" x14ac:dyDescent="0.2">
      <c r="B48" s="16">
        <v>37226</v>
      </c>
      <c r="C48" s="9">
        <v>384</v>
      </c>
      <c r="D48" s="45">
        <v>697.44578313252998</v>
      </c>
    </row>
    <row r="49" spans="2:4" x14ac:dyDescent="0.2">
      <c r="B49" s="16">
        <v>37316</v>
      </c>
      <c r="C49" s="9">
        <v>410</v>
      </c>
      <c r="D49" s="45">
        <v>741.31934032983497</v>
      </c>
    </row>
    <row r="50" spans="2:4" x14ac:dyDescent="0.2">
      <c r="B50" s="16">
        <v>37408</v>
      </c>
      <c r="C50" s="9">
        <v>460</v>
      </c>
      <c r="D50" s="45">
        <v>825.53571428571422</v>
      </c>
    </row>
    <row r="51" spans="2:4" x14ac:dyDescent="0.2">
      <c r="B51" s="16">
        <v>37500</v>
      </c>
      <c r="C51" s="9">
        <v>481</v>
      </c>
      <c r="D51" s="45">
        <v>854.3240058910161</v>
      </c>
    </row>
    <row r="52" spans="2:4" x14ac:dyDescent="0.2">
      <c r="B52" s="16">
        <v>37591</v>
      </c>
      <c r="C52" s="9">
        <v>465</v>
      </c>
      <c r="D52" s="45">
        <v>823.4801762114538</v>
      </c>
    </row>
    <row r="53" spans="2:4" x14ac:dyDescent="0.2">
      <c r="B53" s="16">
        <v>37681</v>
      </c>
      <c r="C53" s="9">
        <v>440</v>
      </c>
      <c r="D53" s="45">
        <v>775.78947368421041</v>
      </c>
    </row>
    <row r="54" spans="2:4" x14ac:dyDescent="0.2">
      <c r="B54" s="16">
        <v>37773</v>
      </c>
      <c r="C54" s="9">
        <v>474</v>
      </c>
      <c r="D54" s="45">
        <v>829.67198838896934</v>
      </c>
    </row>
    <row r="55" spans="2:4" x14ac:dyDescent="0.2">
      <c r="B55" s="16">
        <v>37865</v>
      </c>
      <c r="C55" s="9">
        <v>514</v>
      </c>
      <c r="D55" s="45">
        <v>886.81545064377667</v>
      </c>
    </row>
    <row r="56" spans="2:4" x14ac:dyDescent="0.2">
      <c r="B56" s="16">
        <v>37956</v>
      </c>
      <c r="C56" s="9">
        <v>525</v>
      </c>
      <c r="D56" s="45">
        <v>903.20970042796012</v>
      </c>
    </row>
    <row r="57" spans="2:4" x14ac:dyDescent="0.2">
      <c r="B57" s="16">
        <v>38047</v>
      </c>
      <c r="C57" s="9">
        <v>551</v>
      </c>
      <c r="D57" s="45">
        <v>942.5617021276596</v>
      </c>
    </row>
    <row r="58" spans="2:4" x14ac:dyDescent="0.2">
      <c r="B58" s="16">
        <v>38139</v>
      </c>
      <c r="C58" s="9">
        <v>450</v>
      </c>
      <c r="D58" s="45">
        <v>763.29113924050637</v>
      </c>
    </row>
    <row r="59" spans="2:4" x14ac:dyDescent="0.2">
      <c r="B59" s="16">
        <v>38231</v>
      </c>
      <c r="C59" s="9">
        <v>492</v>
      </c>
      <c r="D59" s="45">
        <v>820.68049792531122</v>
      </c>
    </row>
    <row r="60" spans="2:4" x14ac:dyDescent="0.2">
      <c r="B60" s="16">
        <v>38322</v>
      </c>
      <c r="C60" s="9">
        <v>490</v>
      </c>
      <c r="D60" s="45">
        <v>811.73076923076917</v>
      </c>
    </row>
    <row r="61" spans="2:4" x14ac:dyDescent="0.2">
      <c r="B61" s="16">
        <v>38412</v>
      </c>
      <c r="C61" s="9">
        <v>501</v>
      </c>
      <c r="D61" s="45">
        <v>825.41803278688519</v>
      </c>
    </row>
    <row r="62" spans="2:4" x14ac:dyDescent="0.2">
      <c r="B62" s="16">
        <v>38504</v>
      </c>
      <c r="C62" s="9">
        <v>495</v>
      </c>
      <c r="D62" s="45">
        <v>809.99999999999989</v>
      </c>
    </row>
    <row r="63" spans="2:4" x14ac:dyDescent="0.2">
      <c r="B63" s="16">
        <v>38596</v>
      </c>
      <c r="C63" s="9">
        <v>480</v>
      </c>
      <c r="D63" s="45">
        <v>775.97855227882042</v>
      </c>
    </row>
    <row r="64" spans="2:4" x14ac:dyDescent="0.2">
      <c r="B64" s="16">
        <v>38687</v>
      </c>
      <c r="C64" s="9">
        <v>510</v>
      </c>
      <c r="D64" s="45">
        <v>820.07999999999993</v>
      </c>
    </row>
    <row r="65" spans="2:4" x14ac:dyDescent="0.2">
      <c r="B65" s="16">
        <v>38777</v>
      </c>
      <c r="C65" s="9">
        <v>515</v>
      </c>
      <c r="D65" s="45">
        <v>825.91755319148933</v>
      </c>
    </row>
    <row r="66" spans="2:4" x14ac:dyDescent="0.2">
      <c r="B66" s="16">
        <v>38869</v>
      </c>
      <c r="C66" s="9">
        <v>520</v>
      </c>
      <c r="D66" s="45">
        <v>829.52380952380963</v>
      </c>
    </row>
    <row r="67" spans="2:4" x14ac:dyDescent="0.2">
      <c r="B67" s="16">
        <v>38961</v>
      </c>
      <c r="C67" s="9">
        <v>469</v>
      </c>
      <c r="D67" s="45">
        <v>738.39947780678847</v>
      </c>
    </row>
    <row r="68" spans="2:4" x14ac:dyDescent="0.2">
      <c r="B68" s="16">
        <v>39052</v>
      </c>
      <c r="C68" s="9">
        <v>545</v>
      </c>
      <c r="D68" s="45">
        <v>855.8203125</v>
      </c>
    </row>
    <row r="69" spans="2:4" x14ac:dyDescent="0.2">
      <c r="B69" s="16">
        <v>39142</v>
      </c>
      <c r="C69" s="9">
        <v>475</v>
      </c>
      <c r="D69" s="45">
        <v>742.03367875647655</v>
      </c>
    </row>
    <row r="70" spans="2:4" x14ac:dyDescent="0.2">
      <c r="B70" s="16">
        <v>39234</v>
      </c>
      <c r="C70" s="9">
        <v>501</v>
      </c>
      <c r="D70" s="45">
        <v>775.61745827984578</v>
      </c>
    </row>
    <row r="71" spans="2:4" x14ac:dyDescent="0.2">
      <c r="B71" s="16">
        <v>39326</v>
      </c>
      <c r="C71" s="9">
        <v>523</v>
      </c>
      <c r="D71" s="45">
        <v>794.38035264483619</v>
      </c>
    </row>
    <row r="72" spans="2:4" x14ac:dyDescent="0.2">
      <c r="B72" s="16">
        <v>39417</v>
      </c>
      <c r="C72" s="9">
        <v>490</v>
      </c>
      <c r="D72" s="45">
        <v>738.67499999999995</v>
      </c>
    </row>
    <row r="73" spans="2:4" x14ac:dyDescent="0.2">
      <c r="B73" s="16">
        <v>39508</v>
      </c>
      <c r="C73" s="9">
        <v>465</v>
      </c>
      <c r="D73" s="45">
        <v>690.62807881773392</v>
      </c>
    </row>
    <row r="74" spans="2:4" x14ac:dyDescent="0.2">
      <c r="B74" s="16">
        <v>39600</v>
      </c>
      <c r="C74" s="9">
        <v>520</v>
      </c>
      <c r="D74" s="45">
        <v>761.06796116504847</v>
      </c>
    </row>
    <row r="75" spans="2:4" x14ac:dyDescent="0.2">
      <c r="B75" s="16">
        <v>39692</v>
      </c>
      <c r="C75" s="9">
        <v>500</v>
      </c>
      <c r="D75" s="45">
        <v>714.45497630331749</v>
      </c>
    </row>
    <row r="76" spans="2:4" x14ac:dyDescent="0.2">
      <c r="B76" s="16">
        <v>39783</v>
      </c>
      <c r="C76" s="9">
        <v>468</v>
      </c>
      <c r="D76" s="45">
        <v>661.67409144196949</v>
      </c>
    </row>
    <row r="77" spans="2:4" x14ac:dyDescent="0.2">
      <c r="B77" s="16">
        <v>39873</v>
      </c>
      <c r="C77" s="9">
        <v>484</v>
      </c>
      <c r="D77" s="45">
        <v>679.5157159487776</v>
      </c>
    </row>
    <row r="78" spans="2:4" x14ac:dyDescent="0.2">
      <c r="B78" s="16">
        <v>39965</v>
      </c>
      <c r="C78" s="9">
        <v>508</v>
      </c>
      <c r="D78" s="45">
        <v>705.00345224395846</v>
      </c>
    </row>
    <row r="79" spans="2:4" x14ac:dyDescent="0.2">
      <c r="B79" s="16">
        <v>40057</v>
      </c>
      <c r="C79" s="9">
        <v>514</v>
      </c>
      <c r="D79" s="45">
        <v>687.23281596452318</v>
      </c>
    </row>
    <row r="80" spans="2:4" x14ac:dyDescent="0.2">
      <c r="B80" s="16">
        <v>40148</v>
      </c>
      <c r="C80" s="9">
        <v>580</v>
      </c>
      <c r="D80" s="45">
        <v>770.35242290748897</v>
      </c>
    </row>
    <row r="81" spans="2:4" x14ac:dyDescent="0.2">
      <c r="B81" s="16">
        <v>40238</v>
      </c>
      <c r="C81" s="9">
        <v>571</v>
      </c>
      <c r="D81" s="45">
        <v>751.77510917030565</v>
      </c>
    </row>
    <row r="82" spans="2:4" x14ac:dyDescent="0.2">
      <c r="B82" s="16">
        <v>40330</v>
      </c>
      <c r="C82" s="9">
        <v>665</v>
      </c>
      <c r="D82" s="45">
        <v>870.78175895765469</v>
      </c>
    </row>
    <row r="83" spans="2:4" x14ac:dyDescent="0.2">
      <c r="B83" s="16">
        <v>40422</v>
      </c>
      <c r="C83" s="9">
        <v>590</v>
      </c>
      <c r="D83" s="45">
        <v>755.35031847133757</v>
      </c>
    </row>
    <row r="84" spans="2:4" x14ac:dyDescent="0.2">
      <c r="B84" s="16">
        <v>40513</v>
      </c>
      <c r="C84" s="9">
        <v>655</v>
      </c>
      <c r="D84" s="45">
        <v>831.50526315789477</v>
      </c>
    </row>
    <row r="85" spans="2:4" x14ac:dyDescent="0.2">
      <c r="B85" s="16">
        <v>40603</v>
      </c>
      <c r="C85" s="9">
        <v>600</v>
      </c>
      <c r="D85" s="45">
        <v>753.74999999999989</v>
      </c>
    </row>
    <row r="86" spans="2:4" x14ac:dyDescent="0.2">
      <c r="B86" s="16">
        <v>40695</v>
      </c>
      <c r="C86" s="9">
        <v>672</v>
      </c>
      <c r="D86" s="45">
        <v>837.22314049586771</v>
      </c>
    </row>
    <row r="87" spans="2:4" x14ac:dyDescent="0.2">
      <c r="B87" s="16">
        <v>40787</v>
      </c>
      <c r="C87" s="9">
        <v>600</v>
      </c>
      <c r="D87" s="45">
        <v>730.17154389505549</v>
      </c>
    </row>
    <row r="88" spans="2:4" x14ac:dyDescent="0.2">
      <c r="B88" s="16">
        <v>40878</v>
      </c>
      <c r="C88" s="9">
        <v>539</v>
      </c>
      <c r="D88" s="45">
        <v>651.33667334669337</v>
      </c>
    </row>
    <row r="89" spans="2:4" x14ac:dyDescent="0.2">
      <c r="B89" s="16">
        <v>40969</v>
      </c>
      <c r="C89" s="9">
        <v>570</v>
      </c>
      <c r="D89" s="45">
        <v>686.73326673326676</v>
      </c>
    </row>
    <row r="90" spans="2:4" x14ac:dyDescent="0.2">
      <c r="B90" s="16">
        <v>41061</v>
      </c>
      <c r="C90" s="9">
        <v>595</v>
      </c>
      <c r="D90" s="45">
        <v>710.46534653465346</v>
      </c>
    </row>
    <row r="91" spans="2:4" x14ac:dyDescent="0.2">
      <c r="B91" s="16">
        <v>41153</v>
      </c>
      <c r="C91" s="9">
        <v>634</v>
      </c>
      <c r="D91" s="45">
        <v>733.08149568552244</v>
      </c>
    </row>
    <row r="92" spans="2:4" x14ac:dyDescent="0.2">
      <c r="B92" s="16">
        <v>41244</v>
      </c>
      <c r="C92" s="9">
        <v>720</v>
      </c>
      <c r="D92" s="45">
        <v>826.18458610846824</v>
      </c>
    </row>
    <row r="93" spans="2:4" x14ac:dyDescent="0.2">
      <c r="B93" s="16">
        <v>41334</v>
      </c>
      <c r="C93" s="9">
        <v>645</v>
      </c>
      <c r="D93" s="45">
        <v>734.53257790368264</v>
      </c>
    </row>
    <row r="94" spans="2:4" x14ac:dyDescent="0.2">
      <c r="B94" s="16">
        <v>41426</v>
      </c>
      <c r="C94" s="9">
        <v>697</v>
      </c>
      <c r="D94" s="45">
        <v>788.53846153846143</v>
      </c>
    </row>
    <row r="95" spans="2:4" x14ac:dyDescent="0.2">
      <c r="B95" s="16">
        <v>41518</v>
      </c>
      <c r="C95" s="9">
        <v>650</v>
      </c>
      <c r="D95" s="45">
        <v>722.48847926267285</v>
      </c>
    </row>
    <row r="96" spans="2:4" x14ac:dyDescent="0.2">
      <c r="B96" s="16">
        <v>41609</v>
      </c>
      <c r="C96" s="9">
        <v>650</v>
      </c>
      <c r="D96" s="45">
        <v>717.85714285714278</v>
      </c>
    </row>
    <row r="97" spans="2:4" x14ac:dyDescent="0.2">
      <c r="B97" s="16">
        <v>41699</v>
      </c>
      <c r="C97" s="9">
        <v>698</v>
      </c>
      <c r="D97" s="45">
        <v>767.3546034639927</v>
      </c>
    </row>
    <row r="98" spans="2:4" x14ac:dyDescent="0.2">
      <c r="B98" s="16">
        <v>41791</v>
      </c>
      <c r="C98" s="9">
        <v>718</v>
      </c>
      <c r="D98" s="45">
        <v>781.50541516245482</v>
      </c>
    </row>
    <row r="99" spans="2:4" x14ac:dyDescent="0.2">
      <c r="B99" s="16">
        <v>41883</v>
      </c>
      <c r="C99" s="9">
        <v>730</v>
      </c>
      <c r="D99" s="45">
        <v>788.16472694717993</v>
      </c>
    </row>
    <row r="100" spans="2:4" x14ac:dyDescent="0.2">
      <c r="B100" s="16">
        <v>41974</v>
      </c>
      <c r="C100" s="9">
        <v>840</v>
      </c>
      <c r="D100" s="45">
        <v>899.6802841918294</v>
      </c>
    </row>
    <row r="101" spans="2:4" x14ac:dyDescent="0.2">
      <c r="B101" s="16">
        <v>42064</v>
      </c>
      <c r="C101" s="9">
        <v>743</v>
      </c>
      <c r="D101" s="45">
        <v>788.7834507042254</v>
      </c>
    </row>
    <row r="102" spans="2:4" x14ac:dyDescent="0.2">
      <c r="B102" s="16">
        <v>42156</v>
      </c>
      <c r="C102" s="9">
        <v>870</v>
      </c>
      <c r="D102" s="45">
        <v>913.15926892950381</v>
      </c>
    </row>
    <row r="103" spans="2:4" x14ac:dyDescent="0.2">
      <c r="B103" s="16">
        <v>42248</v>
      </c>
      <c r="C103" s="9">
        <v>900</v>
      </c>
      <c r="D103" s="45">
        <v>943.00608166811469</v>
      </c>
    </row>
    <row r="104" spans="2:4" x14ac:dyDescent="0.2">
      <c r="B104" s="16">
        <v>42339</v>
      </c>
      <c r="C104" s="9">
        <v>880</v>
      </c>
      <c r="D104" s="45">
        <v>919.65337954939332</v>
      </c>
    </row>
    <row r="105" spans="2:4" x14ac:dyDescent="0.2">
      <c r="B105" s="16">
        <v>42430</v>
      </c>
      <c r="C105" s="9">
        <v>875</v>
      </c>
      <c r="D105" s="45">
        <v>910.48317515099211</v>
      </c>
    </row>
    <row r="106" spans="2:4" x14ac:dyDescent="0.2">
      <c r="B106" s="16">
        <v>42522</v>
      </c>
      <c r="C106" s="9">
        <v>1043</v>
      </c>
      <c r="D106" s="45">
        <v>1077.8560411311055</v>
      </c>
    </row>
    <row r="107" spans="2:4" x14ac:dyDescent="0.2">
      <c r="B107" s="16">
        <v>42614</v>
      </c>
      <c r="C107" s="9">
        <v>895</v>
      </c>
      <c r="D107" s="45">
        <v>911.63006756756738</v>
      </c>
    </row>
    <row r="108" spans="2:4" x14ac:dyDescent="0.2">
      <c r="B108" s="16">
        <v>42705</v>
      </c>
      <c r="C108" s="9">
        <v>1002</v>
      </c>
      <c r="D108" s="45">
        <v>1015.4722689075629</v>
      </c>
    </row>
    <row r="109" spans="2:4" x14ac:dyDescent="0.2">
      <c r="B109" s="16">
        <v>42795</v>
      </c>
      <c r="C109" s="9">
        <v>870</v>
      </c>
      <c r="D109" s="45">
        <v>875.80968280467448</v>
      </c>
    </row>
    <row r="110" spans="2:4" x14ac:dyDescent="0.2">
      <c r="B110" s="16">
        <v>42887</v>
      </c>
      <c r="C110" s="9" t="s">
        <v>123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11"/>
  <sheetViews>
    <sheetView zoomScale="113" workbookViewId="0">
      <selection activeCell="B3" sqref="B3:D109"/>
    </sheetView>
  </sheetViews>
  <sheetFormatPr baseColWidth="10" defaultRowHeight="15" x14ac:dyDescent="0.2"/>
  <sheetData>
    <row r="3" spans="2:4" x14ac:dyDescent="0.2">
      <c r="B3" s="3" t="s">
        <v>128</v>
      </c>
      <c r="C3" s="41" t="s">
        <v>4</v>
      </c>
      <c r="D3" s="61" t="s">
        <v>97</v>
      </c>
    </row>
    <row r="4" spans="2:4" x14ac:dyDescent="0.2">
      <c r="B4" s="16">
        <v>33298</v>
      </c>
      <c r="C4" s="45">
        <v>371.72679509632223</v>
      </c>
      <c r="D4" s="62">
        <v>316.81</v>
      </c>
    </row>
    <row r="5" spans="2:4" x14ac:dyDescent="0.2">
      <c r="B5" s="16">
        <v>33390</v>
      </c>
      <c r="C5" s="45">
        <v>368.96853146853147</v>
      </c>
      <c r="D5" s="62">
        <v>326.8</v>
      </c>
    </row>
    <row r="6" spans="2:4" x14ac:dyDescent="0.2">
      <c r="B6" s="16">
        <v>33482</v>
      </c>
      <c r="C6" s="45">
        <v>386.95187165775394</v>
      </c>
      <c r="D6" s="62">
        <v>339.66</v>
      </c>
    </row>
    <row r="7" spans="2:4" x14ac:dyDescent="0.2">
      <c r="B7" s="16">
        <v>33573</v>
      </c>
      <c r="C7" s="45">
        <v>399.12343470483006</v>
      </c>
      <c r="D7" s="62">
        <v>355.97</v>
      </c>
    </row>
    <row r="8" spans="2:4" x14ac:dyDescent="0.2">
      <c r="B8" s="16">
        <v>33664</v>
      </c>
      <c r="C8" s="45">
        <v>400.53284671532845</v>
      </c>
      <c r="D8" s="62">
        <v>352.12</v>
      </c>
    </row>
    <row r="9" spans="2:4" x14ac:dyDescent="0.2">
      <c r="B9" s="16">
        <v>33756</v>
      </c>
      <c r="C9" s="45">
        <v>413.16666666666669</v>
      </c>
      <c r="D9" s="62">
        <v>368.5</v>
      </c>
    </row>
    <row r="10" spans="2:4" x14ac:dyDescent="0.2">
      <c r="B10" s="16">
        <v>33848</v>
      </c>
      <c r="C10" s="45">
        <v>423.11819887429641</v>
      </c>
      <c r="D10" s="62">
        <v>373.34</v>
      </c>
    </row>
    <row r="11" spans="2:4" x14ac:dyDescent="0.2">
      <c r="B11" s="16">
        <v>33939</v>
      </c>
      <c r="C11" s="45">
        <v>443.71698113207543</v>
      </c>
      <c r="D11" s="62">
        <v>380</v>
      </c>
    </row>
    <row r="12" spans="2:4" x14ac:dyDescent="0.2">
      <c r="B12" s="16">
        <v>34029</v>
      </c>
      <c r="C12" s="45">
        <v>434.43151969981238</v>
      </c>
      <c r="D12" s="62">
        <v>373.34</v>
      </c>
    </row>
    <row r="13" spans="2:4" x14ac:dyDescent="0.2">
      <c r="B13" s="16">
        <v>34121</v>
      </c>
      <c r="C13" s="45">
        <v>437.93296089385473</v>
      </c>
      <c r="D13" s="62">
        <v>381.79</v>
      </c>
    </row>
    <row r="14" spans="2:4" x14ac:dyDescent="0.2">
      <c r="B14" s="16">
        <v>34213</v>
      </c>
      <c r="C14" s="45">
        <v>451.40782122905028</v>
      </c>
      <c r="D14" s="62">
        <v>381.79</v>
      </c>
    </row>
    <row r="15" spans="2:4" x14ac:dyDescent="0.2">
      <c r="B15" s="16">
        <v>34304</v>
      </c>
      <c r="C15" s="45">
        <v>452.25</v>
      </c>
      <c r="D15" s="62">
        <v>388.3</v>
      </c>
    </row>
    <row r="16" spans="2:4" x14ac:dyDescent="0.2">
      <c r="B16" s="16">
        <v>34394</v>
      </c>
      <c r="C16" s="45">
        <v>455.95463137996217</v>
      </c>
      <c r="D16" s="62">
        <v>398.96</v>
      </c>
    </row>
    <row r="17" spans="2:4" x14ac:dyDescent="0.2">
      <c r="B17" s="16">
        <v>34486</v>
      </c>
      <c r="C17" s="45">
        <v>462.11214953271025</v>
      </c>
      <c r="D17" s="62">
        <v>394.49</v>
      </c>
    </row>
    <row r="18" spans="2:4" x14ac:dyDescent="0.2">
      <c r="B18" s="16">
        <v>34578</v>
      </c>
      <c r="C18" s="45">
        <v>491.33333333333337</v>
      </c>
      <c r="D18" s="62">
        <v>413.17</v>
      </c>
    </row>
    <row r="19" spans="2:4" x14ac:dyDescent="0.2">
      <c r="B19" s="16">
        <v>34669</v>
      </c>
      <c r="C19" s="45">
        <v>466.69801084990962</v>
      </c>
      <c r="D19" s="62">
        <v>407.82</v>
      </c>
    </row>
    <row r="20" spans="2:4" x14ac:dyDescent="0.2">
      <c r="B20" s="16">
        <v>34759</v>
      </c>
      <c r="C20" s="45">
        <v>479.91766723842193</v>
      </c>
      <c r="D20" s="62">
        <v>380.62</v>
      </c>
    </row>
    <row r="21" spans="2:4" x14ac:dyDescent="0.2">
      <c r="B21" s="16">
        <v>34851</v>
      </c>
      <c r="C21" s="45">
        <v>458.07731092436973</v>
      </c>
      <c r="D21" s="62">
        <v>379.03</v>
      </c>
    </row>
    <row r="22" spans="2:4" x14ac:dyDescent="0.2">
      <c r="B22" s="16">
        <v>34943</v>
      </c>
      <c r="C22" s="45">
        <v>466.31999999999994</v>
      </c>
      <c r="D22" s="62">
        <v>373.86</v>
      </c>
    </row>
    <row r="23" spans="2:4" x14ac:dyDescent="0.2">
      <c r="B23" s="16">
        <v>35034</v>
      </c>
      <c r="C23" s="45">
        <v>440.53884297520659</v>
      </c>
      <c r="D23" s="62">
        <v>378.74</v>
      </c>
    </row>
    <row r="24" spans="2:4" x14ac:dyDescent="0.2">
      <c r="B24" s="16">
        <v>35125</v>
      </c>
      <c r="C24" s="45">
        <v>450.76721311475404</v>
      </c>
      <c r="D24" s="62">
        <v>375.64</v>
      </c>
    </row>
    <row r="25" spans="2:4" x14ac:dyDescent="0.2">
      <c r="B25" s="16">
        <v>35217</v>
      </c>
      <c r="C25" s="45">
        <v>438.00977198697069</v>
      </c>
      <c r="D25" s="62">
        <v>388.91</v>
      </c>
    </row>
    <row r="26" spans="2:4" x14ac:dyDescent="0.2">
      <c r="B26" s="16">
        <v>35309</v>
      </c>
      <c r="C26" s="45">
        <v>436.58766233766232</v>
      </c>
      <c r="D26" s="62">
        <v>391.56</v>
      </c>
    </row>
    <row r="27" spans="2:4" x14ac:dyDescent="0.2">
      <c r="B27" s="16">
        <v>35400</v>
      </c>
      <c r="C27" s="45">
        <v>457.51747088186357</v>
      </c>
      <c r="D27" s="62">
        <v>429.42</v>
      </c>
    </row>
    <row r="28" spans="2:4" x14ac:dyDescent="0.2">
      <c r="B28" s="16">
        <v>35490</v>
      </c>
      <c r="C28" s="45">
        <v>477.46075085324225</v>
      </c>
      <c r="D28" s="62">
        <v>442.47</v>
      </c>
    </row>
    <row r="29" spans="2:4" x14ac:dyDescent="0.2">
      <c r="B29" s="16">
        <v>35582</v>
      </c>
      <c r="C29" s="45">
        <v>515.94718309859161</v>
      </c>
      <c r="D29" s="62">
        <v>469.24</v>
      </c>
    </row>
    <row r="30" spans="2:4" x14ac:dyDescent="0.2">
      <c r="B30" s="16">
        <v>35674</v>
      </c>
      <c r="C30" s="45">
        <v>564.64664310954061</v>
      </c>
      <c r="D30" s="62">
        <v>485.81</v>
      </c>
    </row>
    <row r="31" spans="2:4" x14ac:dyDescent="0.2">
      <c r="B31" s="16">
        <v>35765</v>
      </c>
      <c r="C31" s="45">
        <v>591.13416815742403</v>
      </c>
      <c r="D31" s="62">
        <v>509.15</v>
      </c>
    </row>
    <row r="32" spans="2:4" x14ac:dyDescent="0.2">
      <c r="B32" s="16">
        <v>35855</v>
      </c>
      <c r="C32" s="45">
        <v>594.38571428571424</v>
      </c>
      <c r="D32" s="62">
        <v>501.78</v>
      </c>
    </row>
    <row r="33" spans="2:4" x14ac:dyDescent="0.2">
      <c r="B33" s="16">
        <v>35947</v>
      </c>
      <c r="C33" s="45">
        <v>592.34628975265014</v>
      </c>
      <c r="D33" s="62">
        <v>511.38</v>
      </c>
    </row>
    <row r="34" spans="2:4" x14ac:dyDescent="0.2">
      <c r="B34" s="16">
        <v>36039</v>
      </c>
      <c r="C34" s="45">
        <v>581.91608391608395</v>
      </c>
      <c r="D34" s="62">
        <v>506.01</v>
      </c>
    </row>
    <row r="35" spans="2:4" x14ac:dyDescent="0.2">
      <c r="B35" s="16">
        <v>36130</v>
      </c>
      <c r="C35" s="45">
        <v>589.3193717277486</v>
      </c>
      <c r="D35" s="62">
        <v>526.17999999999995</v>
      </c>
    </row>
    <row r="36" spans="2:4" x14ac:dyDescent="0.2">
      <c r="B36" s="16">
        <v>36220</v>
      </c>
      <c r="C36" s="45">
        <v>642.50689655172414</v>
      </c>
      <c r="D36" s="62">
        <v>519.83000000000004</v>
      </c>
    </row>
    <row r="37" spans="2:4" x14ac:dyDescent="0.2">
      <c r="B37" s="16">
        <v>36312</v>
      </c>
      <c r="C37" s="45">
        <v>654.80412371134014</v>
      </c>
      <c r="D37" s="62">
        <v>549.12</v>
      </c>
    </row>
    <row r="38" spans="2:4" x14ac:dyDescent="0.2">
      <c r="B38" s="16">
        <v>36404</v>
      </c>
      <c r="C38" s="45">
        <v>642.79187817258878</v>
      </c>
      <c r="D38" s="62">
        <v>550.96</v>
      </c>
    </row>
    <row r="39" spans="2:4" x14ac:dyDescent="0.2">
      <c r="B39" s="16">
        <v>36495</v>
      </c>
      <c r="C39" s="45">
        <v>650.31385642737894</v>
      </c>
      <c r="D39" s="62">
        <v>563.74</v>
      </c>
    </row>
    <row r="40" spans="2:4" x14ac:dyDescent="0.2">
      <c r="B40" s="16">
        <v>36586</v>
      </c>
      <c r="C40" s="45">
        <v>652.75247524752467</v>
      </c>
      <c r="D40" s="62">
        <v>555.24</v>
      </c>
    </row>
    <row r="41" spans="2:4" x14ac:dyDescent="0.2">
      <c r="B41" s="16">
        <v>36678</v>
      </c>
      <c r="C41" s="45">
        <v>701.52941176470586</v>
      </c>
      <c r="D41" s="62">
        <v>581.32000000000005</v>
      </c>
    </row>
    <row r="42" spans="2:4" x14ac:dyDescent="0.2">
      <c r="B42" s="16">
        <v>36770</v>
      </c>
      <c r="C42" s="45">
        <v>620.70788253477576</v>
      </c>
      <c r="D42" s="62">
        <v>512.6</v>
      </c>
    </row>
    <row r="43" spans="2:4" x14ac:dyDescent="0.2">
      <c r="B43" s="16">
        <v>36861</v>
      </c>
      <c r="C43" s="45">
        <v>632.77777777777783</v>
      </c>
      <c r="D43" s="62">
        <v>545.30999999999995</v>
      </c>
    </row>
    <row r="44" spans="2:4" x14ac:dyDescent="0.2">
      <c r="B44" s="16">
        <v>36951</v>
      </c>
      <c r="C44" s="45">
        <v>649.38461538461536</v>
      </c>
      <c r="D44" s="62">
        <v>554.76</v>
      </c>
    </row>
    <row r="45" spans="2:4" x14ac:dyDescent="0.2">
      <c r="B45" s="16">
        <v>37043</v>
      </c>
      <c r="C45" s="45">
        <v>689.66972477064212</v>
      </c>
      <c r="D45" s="62">
        <v>582.72</v>
      </c>
    </row>
    <row r="46" spans="2:4" x14ac:dyDescent="0.2">
      <c r="B46" s="16">
        <v>37135</v>
      </c>
      <c r="C46" s="45">
        <v>703.5</v>
      </c>
      <c r="D46" s="62">
        <v>599.35</v>
      </c>
    </row>
    <row r="47" spans="2:4" x14ac:dyDescent="0.2">
      <c r="B47" s="16">
        <v>37226</v>
      </c>
      <c r="C47" s="45">
        <v>697.44578313252998</v>
      </c>
      <c r="D47" s="62">
        <v>613.9</v>
      </c>
    </row>
    <row r="48" spans="2:4" x14ac:dyDescent="0.2">
      <c r="B48" s="16">
        <v>37316</v>
      </c>
      <c r="C48" s="45">
        <v>741.31934032983497</v>
      </c>
      <c r="D48" s="62">
        <v>632.83000000000004</v>
      </c>
    </row>
    <row r="49" spans="2:4" x14ac:dyDescent="0.2">
      <c r="B49" s="16">
        <v>37408</v>
      </c>
      <c r="C49" s="45">
        <v>825.53571428571422</v>
      </c>
      <c r="D49" s="62">
        <v>664.02</v>
      </c>
    </row>
    <row r="50" spans="2:4" x14ac:dyDescent="0.2">
      <c r="B50" s="16">
        <v>37500</v>
      </c>
      <c r="C50" s="45">
        <v>854.3240058910161</v>
      </c>
      <c r="D50" s="62">
        <v>683.81</v>
      </c>
    </row>
    <row r="51" spans="2:4" x14ac:dyDescent="0.2">
      <c r="B51" s="16">
        <v>37591</v>
      </c>
      <c r="C51" s="45">
        <v>823.4801762114538</v>
      </c>
      <c r="D51" s="62">
        <v>708.37</v>
      </c>
    </row>
    <row r="52" spans="2:4" x14ac:dyDescent="0.2">
      <c r="B52" s="16">
        <v>37681</v>
      </c>
      <c r="C52" s="45">
        <v>775.78947368421041</v>
      </c>
      <c r="D52" s="62">
        <v>701.74</v>
      </c>
    </row>
    <row r="53" spans="2:4" x14ac:dyDescent="0.2">
      <c r="B53" s="16">
        <v>37773</v>
      </c>
      <c r="C53" s="45">
        <v>829.67198838896934</v>
      </c>
      <c r="D53" s="62">
        <v>726.4</v>
      </c>
    </row>
    <row r="54" spans="2:4" x14ac:dyDescent="0.2">
      <c r="B54" s="16">
        <v>37865</v>
      </c>
      <c r="C54" s="45">
        <v>886.81545064377667</v>
      </c>
      <c r="D54" s="62">
        <v>729.81</v>
      </c>
    </row>
    <row r="55" spans="2:4" x14ac:dyDescent="0.2">
      <c r="B55" s="16">
        <v>37956</v>
      </c>
      <c r="C55" s="45">
        <v>903.20970042796012</v>
      </c>
      <c r="D55" s="62">
        <v>762.14</v>
      </c>
    </row>
    <row r="56" spans="2:4" x14ac:dyDescent="0.2">
      <c r="B56" s="16">
        <v>38047</v>
      </c>
      <c r="C56" s="45">
        <v>942.5617021276596</v>
      </c>
      <c r="D56" s="62">
        <v>744.13</v>
      </c>
    </row>
    <row r="57" spans="2:4" x14ac:dyDescent="0.2">
      <c r="B57" s="16">
        <v>38139</v>
      </c>
      <c r="C57" s="45">
        <v>763.29113924050637</v>
      </c>
      <c r="D57" s="62">
        <v>724.28</v>
      </c>
    </row>
    <row r="58" spans="2:4" x14ac:dyDescent="0.2">
      <c r="B58" s="16">
        <v>38231</v>
      </c>
      <c r="C58" s="45">
        <v>820.68049792531122</v>
      </c>
      <c r="D58" s="62">
        <v>725.6</v>
      </c>
    </row>
    <row r="59" spans="2:4" x14ac:dyDescent="0.2">
      <c r="B59" s="16">
        <v>38322</v>
      </c>
      <c r="C59" s="45">
        <v>811.73076923076917</v>
      </c>
      <c r="D59" s="62">
        <v>743.81</v>
      </c>
    </row>
    <row r="60" spans="2:4" x14ac:dyDescent="0.2">
      <c r="B60" s="16">
        <v>38412</v>
      </c>
      <c r="C60" s="45">
        <v>825.41803278688519</v>
      </c>
      <c r="D60" s="62">
        <v>708.44</v>
      </c>
    </row>
    <row r="61" spans="2:4" x14ac:dyDescent="0.2">
      <c r="B61" s="16">
        <v>38504</v>
      </c>
      <c r="C61" s="45">
        <v>809.99999999999989</v>
      </c>
      <c r="D61" s="62">
        <v>711.82</v>
      </c>
    </row>
    <row r="62" spans="2:4" x14ac:dyDescent="0.2">
      <c r="B62" s="16">
        <v>38596</v>
      </c>
      <c r="C62" s="45">
        <v>775.97855227882042</v>
      </c>
      <c r="D62" s="62">
        <v>687.06</v>
      </c>
    </row>
    <row r="63" spans="2:4" x14ac:dyDescent="0.2">
      <c r="B63" s="16">
        <v>38687</v>
      </c>
      <c r="C63" s="45">
        <v>820.07999999999993</v>
      </c>
      <c r="D63" s="62">
        <v>696.26</v>
      </c>
    </row>
    <row r="64" spans="2:4" x14ac:dyDescent="0.2">
      <c r="B64" s="16">
        <v>38777</v>
      </c>
      <c r="C64" s="45">
        <v>825.91755319148933</v>
      </c>
      <c r="D64" s="62">
        <v>673.56</v>
      </c>
    </row>
    <row r="65" spans="2:4" x14ac:dyDescent="0.2">
      <c r="B65" s="16">
        <v>38869</v>
      </c>
      <c r="C65" s="45">
        <v>829.52380952380963</v>
      </c>
      <c r="D65" s="62">
        <v>695.52</v>
      </c>
    </row>
    <row r="66" spans="2:4" x14ac:dyDescent="0.2">
      <c r="B66" s="16">
        <v>38961</v>
      </c>
      <c r="C66" s="45">
        <v>738.39947780678847</v>
      </c>
      <c r="D66" s="62">
        <v>661.25</v>
      </c>
    </row>
    <row r="67" spans="2:4" x14ac:dyDescent="0.2">
      <c r="B67" s="16">
        <v>39052</v>
      </c>
      <c r="C67" s="45">
        <v>855.8203125</v>
      </c>
      <c r="D67" s="62">
        <v>694.08</v>
      </c>
    </row>
    <row r="68" spans="2:4" x14ac:dyDescent="0.2">
      <c r="B68" s="16">
        <v>39142</v>
      </c>
      <c r="C68" s="45">
        <v>742.03367875647655</v>
      </c>
      <c r="D68" s="62">
        <v>663.92</v>
      </c>
    </row>
    <row r="69" spans="2:4" x14ac:dyDescent="0.2">
      <c r="B69" s="16">
        <v>39234</v>
      </c>
      <c r="C69" s="45">
        <v>775.61745827984578</v>
      </c>
      <c r="D69" s="62">
        <v>696.66</v>
      </c>
    </row>
    <row r="70" spans="2:4" x14ac:dyDescent="0.2">
      <c r="B70" s="16">
        <v>39326</v>
      </c>
      <c r="C70" s="45">
        <v>794.38035264483619</v>
      </c>
      <c r="D70" s="62">
        <v>675.91</v>
      </c>
    </row>
    <row r="71" spans="2:4" x14ac:dyDescent="0.2">
      <c r="B71" s="16">
        <v>39417</v>
      </c>
      <c r="C71" s="45">
        <v>738.67499999999995</v>
      </c>
      <c r="D71" s="62">
        <v>700.99</v>
      </c>
    </row>
    <row r="72" spans="2:4" x14ac:dyDescent="0.2">
      <c r="B72" s="16">
        <v>39508</v>
      </c>
      <c r="C72" s="45">
        <v>690.62807881773392</v>
      </c>
      <c r="D72" s="62">
        <v>646.07000000000005</v>
      </c>
    </row>
    <row r="73" spans="2:4" x14ac:dyDescent="0.2">
      <c r="B73" s="16">
        <v>39600</v>
      </c>
      <c r="C73" s="45">
        <v>761.06796116504847</v>
      </c>
      <c r="D73" s="62">
        <v>636.66</v>
      </c>
    </row>
    <row r="74" spans="2:4" x14ac:dyDescent="0.2">
      <c r="B74" s="16">
        <v>39692</v>
      </c>
      <c r="C74" s="45">
        <v>714.45497630331749</v>
      </c>
      <c r="D74" s="62">
        <v>600.14</v>
      </c>
    </row>
    <row r="75" spans="2:4" x14ac:dyDescent="0.2">
      <c r="B75" s="16">
        <v>39783</v>
      </c>
      <c r="C75" s="45">
        <v>661.67409144196949</v>
      </c>
      <c r="D75" s="62">
        <v>582.5</v>
      </c>
    </row>
    <row r="76" spans="2:4" x14ac:dyDescent="0.2">
      <c r="B76" s="16">
        <v>39873</v>
      </c>
      <c r="C76" s="45">
        <v>679.5157159487776</v>
      </c>
      <c r="D76" s="62">
        <v>572.80999999999995</v>
      </c>
    </row>
    <row r="77" spans="2:4" x14ac:dyDescent="0.2">
      <c r="B77" s="16">
        <v>39965</v>
      </c>
      <c r="C77" s="45">
        <v>705.00345224395846</v>
      </c>
      <c r="D77" s="62">
        <v>603.69000000000005</v>
      </c>
    </row>
    <row r="78" spans="2:4" x14ac:dyDescent="0.2">
      <c r="B78" s="16">
        <v>40057</v>
      </c>
      <c r="C78" s="45">
        <v>687.23281596452318</v>
      </c>
      <c r="D78" s="62">
        <v>601.66</v>
      </c>
    </row>
    <row r="79" spans="2:4" x14ac:dyDescent="0.2">
      <c r="B79" s="16">
        <v>40148</v>
      </c>
      <c r="C79" s="45">
        <v>770.35242290748897</v>
      </c>
      <c r="D79" s="62">
        <v>664.1</v>
      </c>
    </row>
    <row r="80" spans="2:4" x14ac:dyDescent="0.2">
      <c r="B80" s="16">
        <v>40238</v>
      </c>
      <c r="C80" s="45">
        <v>751.77510917030565</v>
      </c>
      <c r="D80" s="62">
        <v>658.3</v>
      </c>
    </row>
    <row r="81" spans="2:4" x14ac:dyDescent="0.2">
      <c r="B81" s="16">
        <v>40330</v>
      </c>
      <c r="C81" s="45">
        <v>870.78175895765469</v>
      </c>
      <c r="D81" s="62">
        <v>684.84</v>
      </c>
    </row>
    <row r="82" spans="2:4" x14ac:dyDescent="0.2">
      <c r="B82" s="16">
        <v>40422</v>
      </c>
      <c r="C82" s="45">
        <v>755.35031847133757</v>
      </c>
      <c r="D82" s="62">
        <v>659.33</v>
      </c>
    </row>
    <row r="83" spans="2:4" x14ac:dyDescent="0.2">
      <c r="B83" s="16">
        <v>40513</v>
      </c>
      <c r="C83" s="45">
        <v>831.50526315789477</v>
      </c>
      <c r="D83" s="62">
        <v>679.17</v>
      </c>
    </row>
    <row r="84" spans="2:4" x14ac:dyDescent="0.2">
      <c r="B84" s="16">
        <v>40603</v>
      </c>
      <c r="C84" s="45">
        <v>753.74999999999989</v>
      </c>
      <c r="D84" s="62">
        <v>728.63</v>
      </c>
    </row>
    <row r="85" spans="2:4" x14ac:dyDescent="0.2">
      <c r="B85" s="16">
        <v>40695</v>
      </c>
      <c r="C85" s="45">
        <v>837.22314049586771</v>
      </c>
      <c r="D85" s="62">
        <v>672.77</v>
      </c>
    </row>
    <row r="86" spans="2:4" x14ac:dyDescent="0.2">
      <c r="B86" s="16">
        <v>40787</v>
      </c>
      <c r="C86" s="45">
        <v>730.17154389505549</v>
      </c>
      <c r="D86" s="62">
        <v>620.65</v>
      </c>
    </row>
    <row r="87" spans="2:4" x14ac:dyDescent="0.2">
      <c r="B87" s="16">
        <v>40878</v>
      </c>
      <c r="C87" s="45">
        <v>651.33667334669337</v>
      </c>
      <c r="D87" s="62">
        <v>593.33000000000004</v>
      </c>
    </row>
    <row r="88" spans="2:4" x14ac:dyDescent="0.2">
      <c r="B88" s="16">
        <v>40969</v>
      </c>
      <c r="C88" s="45">
        <v>686.73326673326676</v>
      </c>
      <c r="D88" s="62">
        <v>650.59</v>
      </c>
    </row>
    <row r="89" spans="2:4" x14ac:dyDescent="0.2">
      <c r="B89" s="16">
        <v>41061</v>
      </c>
      <c r="C89" s="45">
        <v>710.46534653465346</v>
      </c>
      <c r="D89" s="62">
        <v>650.76</v>
      </c>
    </row>
    <row r="90" spans="2:4" x14ac:dyDescent="0.2">
      <c r="B90" s="16">
        <v>41153</v>
      </c>
      <c r="C90" s="45">
        <v>733.08149568552244</v>
      </c>
      <c r="D90" s="62">
        <v>607.04999999999995</v>
      </c>
    </row>
    <row r="91" spans="2:4" x14ac:dyDescent="0.2">
      <c r="B91" s="16">
        <v>41244</v>
      </c>
      <c r="C91" s="45">
        <v>826.18458610846824</v>
      </c>
      <c r="D91" s="62">
        <v>642.59</v>
      </c>
    </row>
    <row r="92" spans="2:4" x14ac:dyDescent="0.2">
      <c r="B92" s="16">
        <v>41334</v>
      </c>
      <c r="C92" s="45">
        <v>734.53257790368264</v>
      </c>
      <c r="D92" s="62">
        <v>626.35</v>
      </c>
    </row>
    <row r="93" spans="2:4" x14ac:dyDescent="0.2">
      <c r="B93" s="16">
        <v>41426</v>
      </c>
      <c r="C93" s="45">
        <v>788.53846153846143</v>
      </c>
      <c r="D93" s="62">
        <v>650.52</v>
      </c>
    </row>
    <row r="94" spans="2:4" x14ac:dyDescent="0.2">
      <c r="B94" s="16">
        <v>41518</v>
      </c>
      <c r="C94" s="45">
        <v>722.48847926267285</v>
      </c>
      <c r="D94" s="62">
        <v>655.8</v>
      </c>
    </row>
    <row r="95" spans="2:4" x14ac:dyDescent="0.2">
      <c r="B95" s="16">
        <v>41609</v>
      </c>
      <c r="C95" s="45">
        <v>717.85714285714278</v>
      </c>
      <c r="D95" s="62">
        <v>662.64</v>
      </c>
    </row>
    <row r="96" spans="2:4" x14ac:dyDescent="0.2">
      <c r="B96" s="16">
        <v>41699</v>
      </c>
      <c r="C96" s="45">
        <v>767.3546034639927</v>
      </c>
      <c r="D96" s="62">
        <v>709.09</v>
      </c>
    </row>
    <row r="97" spans="2:4" x14ac:dyDescent="0.2">
      <c r="B97" s="16">
        <v>41791</v>
      </c>
      <c r="C97" s="45">
        <v>781.50541516245482</v>
      </c>
      <c r="D97" s="62">
        <v>707.49</v>
      </c>
    </row>
    <row r="98" spans="2:4" x14ac:dyDescent="0.2">
      <c r="B98" s="16">
        <v>41883</v>
      </c>
      <c r="C98" s="45">
        <v>788.16472694717993</v>
      </c>
      <c r="D98" s="62">
        <v>723.38</v>
      </c>
    </row>
    <row r="99" spans="2:4" x14ac:dyDescent="0.2">
      <c r="B99" s="16">
        <v>41974</v>
      </c>
      <c r="C99" s="45">
        <v>899.6802841918294</v>
      </c>
      <c r="D99" s="62">
        <v>749.73</v>
      </c>
    </row>
    <row r="100" spans="2:4" x14ac:dyDescent="0.2">
      <c r="B100" s="16">
        <v>42064</v>
      </c>
      <c r="C100" s="45">
        <v>788.7834507042254</v>
      </c>
      <c r="D100" s="62">
        <v>743.13</v>
      </c>
    </row>
    <row r="101" spans="2:4" x14ac:dyDescent="0.2">
      <c r="B101" s="16">
        <v>42156</v>
      </c>
      <c r="C101" s="45">
        <v>913.15926892950381</v>
      </c>
      <c r="D101" s="62">
        <v>787.21</v>
      </c>
    </row>
    <row r="102" spans="2:4" x14ac:dyDescent="0.2">
      <c r="B102" s="16">
        <v>42248</v>
      </c>
      <c r="C102" s="45">
        <v>943.00608166811469</v>
      </c>
      <c r="D102" s="62">
        <v>806.79</v>
      </c>
    </row>
    <row r="103" spans="2:4" x14ac:dyDescent="0.2">
      <c r="B103" s="16">
        <v>42339</v>
      </c>
      <c r="C103" s="45">
        <v>919.65337954939332</v>
      </c>
      <c r="D103" s="62">
        <v>825.6</v>
      </c>
    </row>
    <row r="104" spans="2:4" x14ac:dyDescent="0.2">
      <c r="B104" s="16">
        <v>42430</v>
      </c>
      <c r="C104" s="45">
        <v>910.48317515099211</v>
      </c>
      <c r="D104" s="62">
        <v>790.82</v>
      </c>
    </row>
    <row r="105" spans="2:4" x14ac:dyDescent="0.2">
      <c r="B105" s="16">
        <v>42522</v>
      </c>
      <c r="C105" s="45">
        <v>1077.8560411311055</v>
      </c>
      <c r="D105" s="62">
        <v>806.07</v>
      </c>
    </row>
    <row r="106" spans="2:4" x14ac:dyDescent="0.2">
      <c r="B106" s="16">
        <v>42614</v>
      </c>
      <c r="C106" s="45">
        <v>911.63006756756738</v>
      </c>
      <c r="D106" s="62">
        <v>802.64</v>
      </c>
    </row>
    <row r="107" spans="2:4" x14ac:dyDescent="0.2">
      <c r="B107" s="16">
        <v>42705</v>
      </c>
      <c r="C107" s="45">
        <v>1015.4722689075629</v>
      </c>
      <c r="D107" s="62">
        <v>851.29</v>
      </c>
    </row>
    <row r="108" spans="2:4" x14ac:dyDescent="0.2">
      <c r="B108" s="16">
        <v>42795</v>
      </c>
      <c r="C108" s="45">
        <v>875.80968280467448</v>
      </c>
      <c r="D108" s="62">
        <v>815.41</v>
      </c>
    </row>
    <row r="109" spans="2:4" x14ac:dyDescent="0.2">
      <c r="B109" s="16">
        <v>42887</v>
      </c>
    </row>
    <row r="111" spans="2:4" x14ac:dyDescent="0.2">
      <c r="C111">
        <f>((C108/C4)^(1/27)-1)*103</f>
        <v>3.3216938125983093</v>
      </c>
      <c r="D111">
        <f>((D108/D4)^(1/27)-1)*103</f>
        <v>3.6703661636615892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7"/>
  <sheetViews>
    <sheetView workbookViewId="0">
      <selection activeCell="B3" sqref="B3:E105"/>
    </sheetView>
  </sheetViews>
  <sheetFormatPr baseColWidth="10" defaultRowHeight="15" x14ac:dyDescent="0.2"/>
  <cols>
    <col min="5" max="5" width="10.83203125" style="42"/>
  </cols>
  <sheetData>
    <row r="2" spans="2:5" x14ac:dyDescent="0.2">
      <c r="B2" s="49"/>
      <c r="C2" s="49"/>
      <c r="D2" s="40"/>
    </row>
    <row r="3" spans="2:5" x14ac:dyDescent="0.2">
      <c r="B3" s="50" t="s">
        <v>128</v>
      </c>
      <c r="C3" s="41" t="s">
        <v>174</v>
      </c>
      <c r="D3" s="41" t="s">
        <v>175</v>
      </c>
      <c r="E3" s="51" t="s">
        <v>176</v>
      </c>
    </row>
    <row r="4" spans="2:5" x14ac:dyDescent="0.2">
      <c r="B4" s="16">
        <v>33573</v>
      </c>
      <c r="C4" s="45">
        <v>399.12343470483006</v>
      </c>
      <c r="D4" s="45">
        <v>431.48479427549199</v>
      </c>
      <c r="E4" s="45">
        <v>330.08586762075134</v>
      </c>
    </row>
    <row r="5" spans="2:5" x14ac:dyDescent="0.2">
      <c r="B5" s="16">
        <v>33664</v>
      </c>
      <c r="C5" s="45">
        <v>400.53284671532845</v>
      </c>
      <c r="D5" s="45">
        <v>481.95985401459853</v>
      </c>
      <c r="E5" s="45">
        <v>330.1094890510949</v>
      </c>
    </row>
    <row r="6" spans="2:5" x14ac:dyDescent="0.2">
      <c r="B6" s="16">
        <v>33756</v>
      </c>
      <c r="C6" s="45">
        <v>413.16666666666669</v>
      </c>
      <c r="D6" s="45">
        <v>491.33333333333337</v>
      </c>
      <c r="E6" s="45">
        <v>343.93333333333334</v>
      </c>
    </row>
    <row r="7" spans="2:5" x14ac:dyDescent="0.2">
      <c r="B7" s="16">
        <v>33848</v>
      </c>
      <c r="C7" s="45">
        <v>423.11819887429641</v>
      </c>
      <c r="D7" s="45">
        <v>475.15947467166978</v>
      </c>
      <c r="E7" s="45">
        <v>359.76360225140712</v>
      </c>
    </row>
    <row r="8" spans="2:5" x14ac:dyDescent="0.2">
      <c r="B8" s="16">
        <v>33939</v>
      </c>
      <c r="C8" s="45">
        <v>443.71698113207543</v>
      </c>
      <c r="D8" s="45">
        <v>530.18490566037724</v>
      </c>
      <c r="E8" s="45">
        <v>364.07547169811318</v>
      </c>
    </row>
    <row r="9" spans="2:5" x14ac:dyDescent="0.2">
      <c r="B9" s="16">
        <v>34029</v>
      </c>
      <c r="C9" s="45">
        <v>434.43151969981238</v>
      </c>
      <c r="D9" s="45">
        <v>520.41275797373351</v>
      </c>
      <c r="E9" s="45">
        <v>371.07692307692304</v>
      </c>
    </row>
    <row r="10" spans="2:5" x14ac:dyDescent="0.2">
      <c r="B10" s="16">
        <v>34121</v>
      </c>
      <c r="C10" s="45">
        <v>437.93296089385473</v>
      </c>
      <c r="D10" s="45">
        <v>527.76536312849157</v>
      </c>
      <c r="E10" s="45">
        <v>334.62569832402232</v>
      </c>
    </row>
    <row r="11" spans="2:5" x14ac:dyDescent="0.2">
      <c r="B11" s="16">
        <v>34213</v>
      </c>
      <c r="C11" s="45">
        <v>451.40782122905028</v>
      </c>
      <c r="D11" s="45">
        <v>521.02793296089385</v>
      </c>
      <c r="E11" s="45">
        <v>343.60893854748605</v>
      </c>
    </row>
    <row r="12" spans="2:5" x14ac:dyDescent="0.2">
      <c r="B12" s="16">
        <v>34304</v>
      </c>
      <c r="C12" s="45">
        <v>452.25</v>
      </c>
      <c r="D12" s="45">
        <v>543.61363636363637</v>
      </c>
      <c r="E12" s="45">
        <v>349.46590909090912</v>
      </c>
    </row>
    <row r="13" spans="2:5" x14ac:dyDescent="0.2">
      <c r="B13" s="16">
        <v>34394</v>
      </c>
      <c r="C13" s="45">
        <v>455.95463137996217</v>
      </c>
      <c r="D13" s="45">
        <v>542.58601134215496</v>
      </c>
      <c r="E13" s="45">
        <v>348.8052930056711</v>
      </c>
    </row>
    <row r="14" spans="2:5" x14ac:dyDescent="0.2">
      <c r="B14" s="16">
        <v>34486</v>
      </c>
      <c r="C14" s="45">
        <v>462.11214953271025</v>
      </c>
      <c r="D14" s="45">
        <v>563.55140186915889</v>
      </c>
      <c r="E14" s="45">
        <v>353.91028037383177</v>
      </c>
    </row>
    <row r="15" spans="2:5" x14ac:dyDescent="0.2">
      <c r="B15" s="16">
        <v>34578</v>
      </c>
      <c r="C15" s="45">
        <v>491.33333333333337</v>
      </c>
      <c r="D15" s="45">
        <v>598.5333333333333</v>
      </c>
      <c r="E15" s="45">
        <v>366.26666666666665</v>
      </c>
    </row>
    <row r="16" spans="2:5" x14ac:dyDescent="0.2">
      <c r="B16" s="16">
        <v>34669</v>
      </c>
      <c r="C16" s="45">
        <v>466.69801084990962</v>
      </c>
      <c r="D16" s="45">
        <v>584.46292947558777</v>
      </c>
      <c r="E16" s="45">
        <v>346.75226039783001</v>
      </c>
    </row>
    <row r="17" spans="2:5" x14ac:dyDescent="0.2">
      <c r="B17" s="16">
        <v>34759</v>
      </c>
      <c r="C17" s="45">
        <v>479.91766723842193</v>
      </c>
      <c r="D17" s="45">
        <v>544.04459691252146</v>
      </c>
      <c r="E17" s="45">
        <v>337.1835334476844</v>
      </c>
    </row>
    <row r="18" spans="2:5" x14ac:dyDescent="0.2">
      <c r="B18" s="16">
        <v>34851</v>
      </c>
      <c r="C18" s="45">
        <v>458.07731092436973</v>
      </c>
      <c r="D18" s="45">
        <v>547.26050420168065</v>
      </c>
      <c r="E18" s="45">
        <v>324.30252100840335</v>
      </c>
    </row>
    <row r="19" spans="2:5" x14ac:dyDescent="0.2">
      <c r="B19" s="16">
        <v>34943</v>
      </c>
      <c r="C19" s="45">
        <v>466.31999999999994</v>
      </c>
      <c r="D19" s="45">
        <v>532.65</v>
      </c>
      <c r="E19" s="45">
        <v>329.64</v>
      </c>
    </row>
    <row r="20" spans="2:5" x14ac:dyDescent="0.2">
      <c r="B20" s="16">
        <v>35034</v>
      </c>
      <c r="C20" s="45">
        <v>440.53884297520659</v>
      </c>
      <c r="D20" s="45">
        <v>506.3206611570248</v>
      </c>
      <c r="E20" s="45">
        <v>310.96859504132232</v>
      </c>
    </row>
    <row r="21" spans="2:5" x14ac:dyDescent="0.2">
      <c r="B21" s="16">
        <v>35125</v>
      </c>
      <c r="C21" s="45">
        <v>450.76721311475404</v>
      </c>
      <c r="D21" s="45">
        <v>510.07868852459012</v>
      </c>
      <c r="E21" s="45">
        <v>320.28196721311474</v>
      </c>
    </row>
    <row r="22" spans="2:5" x14ac:dyDescent="0.2">
      <c r="B22" s="16">
        <v>35217</v>
      </c>
      <c r="C22" s="45">
        <v>438.00977198697069</v>
      </c>
      <c r="D22" s="45">
        <v>504.79153094462538</v>
      </c>
      <c r="E22" s="45">
        <v>314.26710097719871</v>
      </c>
    </row>
    <row r="23" spans="2:5" x14ac:dyDescent="0.2">
      <c r="B23" s="16">
        <v>35309</v>
      </c>
      <c r="C23" s="45">
        <v>436.58766233766232</v>
      </c>
      <c r="D23" s="45">
        <v>518.81493506493507</v>
      </c>
      <c r="E23" s="45">
        <v>332.8246753246753</v>
      </c>
    </row>
    <row r="24" spans="2:5" x14ac:dyDescent="0.2">
      <c r="B24" s="16">
        <v>35400</v>
      </c>
      <c r="C24" s="45">
        <v>457.51747088186357</v>
      </c>
      <c r="D24" s="45">
        <v>541.79700499168052</v>
      </c>
      <c r="E24" s="45">
        <v>341.13144758735439</v>
      </c>
    </row>
    <row r="25" spans="2:5" x14ac:dyDescent="0.2">
      <c r="B25" s="16">
        <v>35490</v>
      </c>
      <c r="C25" s="45">
        <v>477.46075085324225</v>
      </c>
      <c r="D25" s="45">
        <v>586.53583617747438</v>
      </c>
      <c r="E25" s="45">
        <v>360.15358361774742</v>
      </c>
    </row>
    <row r="26" spans="2:5" x14ac:dyDescent="0.2">
      <c r="B26" s="16">
        <v>35582</v>
      </c>
      <c r="C26" s="45">
        <v>515.94718309859161</v>
      </c>
      <c r="D26" s="45">
        <v>636.97183098591552</v>
      </c>
      <c r="E26" s="45">
        <v>416.15492957746483</v>
      </c>
    </row>
    <row r="27" spans="2:5" x14ac:dyDescent="0.2">
      <c r="B27" s="16">
        <v>35674</v>
      </c>
      <c r="C27" s="45">
        <v>564.64664310954061</v>
      </c>
      <c r="D27" s="45">
        <v>681.83745583038876</v>
      </c>
      <c r="E27" s="45">
        <v>441.0636042402827</v>
      </c>
    </row>
    <row r="28" spans="2:5" x14ac:dyDescent="0.2">
      <c r="B28" s="16">
        <v>35765</v>
      </c>
      <c r="C28" s="45">
        <v>591.13416815742403</v>
      </c>
      <c r="D28" s="45">
        <v>705.4776386404294</v>
      </c>
      <c r="E28" s="45">
        <v>461.68872987477641</v>
      </c>
    </row>
    <row r="29" spans="2:5" x14ac:dyDescent="0.2">
      <c r="B29" s="16">
        <v>35855</v>
      </c>
      <c r="C29" s="45">
        <v>594.38571428571424</v>
      </c>
      <c r="D29" s="45">
        <v>727.90714285714284</v>
      </c>
      <c r="E29" s="45">
        <v>415.63928571428568</v>
      </c>
    </row>
    <row r="30" spans="2:5" x14ac:dyDescent="0.2">
      <c r="B30" s="16">
        <v>35947</v>
      </c>
      <c r="C30" s="45">
        <v>592.34628975265014</v>
      </c>
      <c r="D30" s="45">
        <v>726.58303886925796</v>
      </c>
      <c r="E30" s="45">
        <v>460.2402826855124</v>
      </c>
    </row>
    <row r="31" spans="2:5" x14ac:dyDescent="0.2">
      <c r="B31" s="16">
        <v>36039</v>
      </c>
      <c r="C31" s="45">
        <v>581.91608391608395</v>
      </c>
      <c r="D31" s="45">
        <v>714.7447552447552</v>
      </c>
      <c r="E31" s="45">
        <v>421.67832167832165</v>
      </c>
    </row>
    <row r="32" spans="2:5" x14ac:dyDescent="0.2">
      <c r="B32" s="16">
        <v>36130</v>
      </c>
      <c r="C32" s="45">
        <v>589.3193717277486</v>
      </c>
      <c r="D32" s="45">
        <v>736.64921465968587</v>
      </c>
      <c r="E32" s="45">
        <v>473.56020942408372</v>
      </c>
    </row>
    <row r="33" spans="2:5" x14ac:dyDescent="0.2">
      <c r="B33" s="16">
        <v>36220</v>
      </c>
      <c r="C33" s="45">
        <v>642.50689655172414</v>
      </c>
      <c r="D33" s="45">
        <v>748.55172413793093</v>
      </c>
      <c r="E33" s="45">
        <v>467.84482758620686</v>
      </c>
    </row>
    <row r="34" spans="2:5" x14ac:dyDescent="0.2">
      <c r="B34" s="16">
        <v>36312</v>
      </c>
      <c r="C34" s="45">
        <v>654.80412371134014</v>
      </c>
      <c r="D34" s="45">
        <v>777.061855670103</v>
      </c>
      <c r="E34" s="45">
        <v>470.38144329896903</v>
      </c>
    </row>
    <row r="35" spans="2:5" x14ac:dyDescent="0.2">
      <c r="B35" s="16">
        <v>36404</v>
      </c>
      <c r="C35" s="45">
        <v>642.79187817258878</v>
      </c>
      <c r="D35" s="45">
        <v>775.4314720812182</v>
      </c>
      <c r="E35" s="45">
        <v>450.97461928934001</v>
      </c>
    </row>
    <row r="36" spans="2:5" x14ac:dyDescent="0.2">
      <c r="B36" s="16">
        <v>36495</v>
      </c>
      <c r="C36" s="45">
        <v>650.31385642737894</v>
      </c>
      <c r="D36" s="45">
        <v>775.14190317195323</v>
      </c>
      <c r="E36" s="45">
        <v>463.0717863105175</v>
      </c>
    </row>
    <row r="37" spans="2:5" x14ac:dyDescent="0.2">
      <c r="B37" s="16">
        <v>36586</v>
      </c>
      <c r="C37" s="45">
        <v>652.75247524752467</v>
      </c>
      <c r="D37" s="45">
        <v>776.13861386138603</v>
      </c>
      <c r="E37" s="45">
        <v>493.54455445544551</v>
      </c>
    </row>
    <row r="38" spans="2:5" x14ac:dyDescent="0.2">
      <c r="B38" s="16">
        <v>36678</v>
      </c>
      <c r="C38" s="45">
        <v>701.52941176470586</v>
      </c>
      <c r="D38" s="45">
        <v>817.79411764705878</v>
      </c>
      <c r="E38" s="45">
        <v>482.79411764705878</v>
      </c>
    </row>
    <row r="39" spans="2:5" x14ac:dyDescent="0.2">
      <c r="B39" s="16">
        <v>36770</v>
      </c>
      <c r="C39" s="45">
        <v>620.70788253477576</v>
      </c>
      <c r="D39" s="45">
        <v>726.95517774343114</v>
      </c>
      <c r="E39" s="45">
        <v>447.35703245749608</v>
      </c>
    </row>
    <row r="40" spans="2:5" x14ac:dyDescent="0.2">
      <c r="B40" s="16">
        <v>36861</v>
      </c>
      <c r="C40" s="45">
        <v>632.77777777777783</v>
      </c>
      <c r="D40" s="45">
        <v>757.47222222222229</v>
      </c>
      <c r="E40" s="45">
        <v>474.58333333333337</v>
      </c>
    </row>
    <row r="41" spans="2:5" x14ac:dyDescent="0.2">
      <c r="B41" s="16">
        <v>36951</v>
      </c>
      <c r="C41" s="45">
        <v>649.38461538461536</v>
      </c>
      <c r="D41" s="45">
        <v>760.70769230769224</v>
      </c>
      <c r="E41" s="45">
        <v>484.25538461538457</v>
      </c>
    </row>
    <row r="42" spans="2:5" x14ac:dyDescent="0.2">
      <c r="B42" s="16">
        <v>37043</v>
      </c>
      <c r="C42" s="45">
        <v>689.66972477064212</v>
      </c>
      <c r="D42" s="45">
        <v>839.03669724770634</v>
      </c>
      <c r="E42" s="45">
        <v>551.36697247706422</v>
      </c>
    </row>
    <row r="43" spans="2:5" x14ac:dyDescent="0.2">
      <c r="B43" s="16">
        <v>37135</v>
      </c>
      <c r="C43" s="45">
        <v>703.5</v>
      </c>
      <c r="D43" s="45">
        <v>880.74545454545444</v>
      </c>
      <c r="E43" s="45">
        <v>539.0454545454545</v>
      </c>
    </row>
    <row r="44" spans="2:5" x14ac:dyDescent="0.2">
      <c r="B44" s="16">
        <v>37226</v>
      </c>
      <c r="C44" s="45">
        <v>697.44578313252998</v>
      </c>
      <c r="D44" s="45">
        <v>908.13253012048176</v>
      </c>
      <c r="E44" s="45">
        <v>572.12349397590356</v>
      </c>
    </row>
    <row r="45" spans="2:5" x14ac:dyDescent="0.2">
      <c r="B45" s="16">
        <v>37316</v>
      </c>
      <c r="C45" s="45">
        <v>741.31934032983497</v>
      </c>
      <c r="D45" s="45">
        <v>940.20989505247371</v>
      </c>
      <c r="E45" s="45">
        <v>560.50974512743619</v>
      </c>
    </row>
    <row r="46" spans="2:5" x14ac:dyDescent="0.2">
      <c r="B46" s="16">
        <v>37408</v>
      </c>
      <c r="C46" s="45">
        <v>825.53571428571422</v>
      </c>
      <c r="D46" s="45">
        <v>1044.4821428571427</v>
      </c>
      <c r="E46" s="45">
        <v>638.89285714285711</v>
      </c>
    </row>
    <row r="47" spans="2:5" x14ac:dyDescent="0.2">
      <c r="B47" s="16">
        <v>37500</v>
      </c>
      <c r="C47" s="45">
        <v>854.3240058910161</v>
      </c>
      <c r="D47" s="45">
        <v>1065.684830633284</v>
      </c>
      <c r="E47" s="45">
        <v>692.69513991163467</v>
      </c>
    </row>
    <row r="48" spans="2:5" x14ac:dyDescent="0.2">
      <c r="B48" s="16">
        <v>37591</v>
      </c>
      <c r="C48" s="45">
        <v>823.4801762114538</v>
      </c>
      <c r="D48" s="45">
        <v>1080.2643171806167</v>
      </c>
      <c r="E48" s="45">
        <v>641.07488986784142</v>
      </c>
    </row>
    <row r="49" spans="2:5" x14ac:dyDescent="0.2">
      <c r="B49" s="16">
        <v>37681</v>
      </c>
      <c r="C49" s="45">
        <v>775.78947368421041</v>
      </c>
      <c r="D49" s="45">
        <v>1086.1052631578946</v>
      </c>
      <c r="E49" s="45">
        <v>617.10526315789468</v>
      </c>
    </row>
    <row r="50" spans="2:5" x14ac:dyDescent="0.2">
      <c r="B50" s="16">
        <v>37773</v>
      </c>
      <c r="C50" s="45">
        <v>829.67198838896934</v>
      </c>
      <c r="D50" s="45">
        <v>1102.7285921625542</v>
      </c>
      <c r="E50" s="45">
        <v>603.87518142235115</v>
      </c>
    </row>
    <row r="51" spans="2:5" x14ac:dyDescent="0.2">
      <c r="B51" s="16">
        <v>37865</v>
      </c>
      <c r="C51" s="45">
        <v>886.81545064377667</v>
      </c>
      <c r="D51" s="45">
        <v>1181.8454935622317</v>
      </c>
      <c r="E51" s="45">
        <v>646.99570815450636</v>
      </c>
    </row>
    <row r="52" spans="2:5" x14ac:dyDescent="0.2">
      <c r="B52" s="16">
        <v>37956</v>
      </c>
      <c r="C52" s="45">
        <v>903.20970042796012</v>
      </c>
      <c r="D52" s="45">
        <v>1169.8716119828816</v>
      </c>
      <c r="E52" s="45">
        <v>669.23537803138379</v>
      </c>
    </row>
    <row r="53" spans="2:5" x14ac:dyDescent="0.2">
      <c r="B53" s="16">
        <v>38047</v>
      </c>
      <c r="C53" s="45">
        <v>942.5617021276596</v>
      </c>
      <c r="D53" s="45">
        <v>1137.5744680851064</v>
      </c>
      <c r="E53" s="45">
        <v>615.82978723404256</v>
      </c>
    </row>
    <row r="54" spans="2:5" x14ac:dyDescent="0.2">
      <c r="B54" s="16">
        <v>38139</v>
      </c>
      <c r="C54" s="45">
        <v>763.29113924050637</v>
      </c>
      <c r="D54" s="45">
        <v>1085.5696202531647</v>
      </c>
      <c r="E54" s="45">
        <v>593.6708860759494</v>
      </c>
    </row>
    <row r="55" spans="2:5" x14ac:dyDescent="0.2">
      <c r="B55" s="16">
        <v>38231</v>
      </c>
      <c r="C55" s="45">
        <v>820.68049792531122</v>
      </c>
      <c r="D55" s="45">
        <v>1050.8713692946058</v>
      </c>
      <c r="E55" s="45">
        <v>575.47717842323652</v>
      </c>
    </row>
    <row r="56" spans="2:5" x14ac:dyDescent="0.2">
      <c r="B56" s="16">
        <v>38322</v>
      </c>
      <c r="C56" s="45">
        <v>811.73076923076917</v>
      </c>
      <c r="D56" s="45">
        <v>1043.6538461538462</v>
      </c>
      <c r="E56" s="45">
        <v>579.80769230769226</v>
      </c>
    </row>
    <row r="57" spans="2:5" x14ac:dyDescent="0.2">
      <c r="B57" s="16">
        <v>38412</v>
      </c>
      <c r="C57" s="45">
        <v>825.41803278688519</v>
      </c>
      <c r="D57" s="45">
        <v>1046.188524590164</v>
      </c>
      <c r="E57" s="45">
        <v>609.59016393442619</v>
      </c>
    </row>
    <row r="58" spans="2:5" x14ac:dyDescent="0.2">
      <c r="B58" s="16">
        <v>38504</v>
      </c>
      <c r="C58" s="45">
        <v>809.99999999999989</v>
      </c>
      <c r="D58" s="45">
        <v>1029.2727272727273</v>
      </c>
      <c r="E58" s="45">
        <v>572.72727272727263</v>
      </c>
    </row>
    <row r="59" spans="2:5" x14ac:dyDescent="0.2">
      <c r="B59" s="16">
        <v>38596</v>
      </c>
      <c r="C59" s="45">
        <v>775.97855227882042</v>
      </c>
      <c r="D59" s="45">
        <v>981.28954423592495</v>
      </c>
      <c r="E59" s="45">
        <v>598.15013404825731</v>
      </c>
    </row>
    <row r="60" spans="2:5" x14ac:dyDescent="0.2">
      <c r="B60" s="16">
        <v>38687</v>
      </c>
      <c r="C60" s="45">
        <v>820.07999999999993</v>
      </c>
      <c r="D60" s="45">
        <v>996.95999999999992</v>
      </c>
      <c r="E60" s="45">
        <v>603</v>
      </c>
    </row>
    <row r="61" spans="2:5" x14ac:dyDescent="0.2">
      <c r="B61" s="16">
        <v>38777</v>
      </c>
      <c r="C61" s="45">
        <v>825.91755319148933</v>
      </c>
      <c r="D61" s="45">
        <v>986.28989361702122</v>
      </c>
      <c r="E61" s="45">
        <v>633.470744680851</v>
      </c>
    </row>
    <row r="62" spans="2:5" x14ac:dyDescent="0.2">
      <c r="B62" s="16">
        <v>38869</v>
      </c>
      <c r="C62" s="45">
        <v>829.52380952380963</v>
      </c>
      <c r="D62" s="45">
        <v>1048.0714285714287</v>
      </c>
      <c r="E62" s="45">
        <v>615.76190476190482</v>
      </c>
    </row>
    <row r="63" spans="2:5" x14ac:dyDescent="0.2">
      <c r="B63" s="16">
        <v>38961</v>
      </c>
      <c r="C63" s="45">
        <v>738.39947780678847</v>
      </c>
      <c r="D63" s="45">
        <v>1001.3263707571801</v>
      </c>
      <c r="E63" s="45">
        <v>533.72584856396861</v>
      </c>
    </row>
    <row r="64" spans="2:5" x14ac:dyDescent="0.2">
      <c r="B64" s="16">
        <v>39052</v>
      </c>
      <c r="C64" s="45">
        <v>855.8203125</v>
      </c>
      <c r="D64" s="45">
        <v>1036.40625</v>
      </c>
      <c r="E64" s="45">
        <v>588.8671875</v>
      </c>
    </row>
    <row r="65" spans="2:5" x14ac:dyDescent="0.2">
      <c r="B65" s="16">
        <v>39142</v>
      </c>
      <c r="C65" s="45">
        <v>742.03367875647655</v>
      </c>
      <c r="D65" s="45">
        <v>1023.2253886010361</v>
      </c>
      <c r="E65" s="45">
        <v>546.76165803108802</v>
      </c>
    </row>
    <row r="66" spans="2:5" x14ac:dyDescent="0.2">
      <c r="B66" s="16">
        <v>39234</v>
      </c>
      <c r="C66" s="45">
        <v>775.61745827984578</v>
      </c>
      <c r="D66" s="45">
        <v>1052.7342747111679</v>
      </c>
      <c r="E66" s="45">
        <v>619.25545571245175</v>
      </c>
    </row>
    <row r="67" spans="2:5" x14ac:dyDescent="0.2">
      <c r="B67" s="16">
        <v>39326</v>
      </c>
      <c r="C67" s="45">
        <v>794.38035264483619</v>
      </c>
      <c r="D67" s="45">
        <v>1055.6297229219142</v>
      </c>
      <c r="E67" s="45">
        <v>607.5566750629722</v>
      </c>
    </row>
    <row r="68" spans="2:5" x14ac:dyDescent="0.2">
      <c r="B68" s="16">
        <v>39417</v>
      </c>
      <c r="C68" s="45">
        <v>738.67499999999995</v>
      </c>
      <c r="D68" s="45">
        <v>1108.0124999999998</v>
      </c>
      <c r="E68" s="45">
        <v>602.99999999999989</v>
      </c>
    </row>
    <row r="69" spans="2:5" x14ac:dyDescent="0.2">
      <c r="B69" s="16">
        <v>39508</v>
      </c>
      <c r="C69" s="45">
        <v>690.62807881773392</v>
      </c>
      <c r="D69" s="45">
        <v>1082.7266009852217</v>
      </c>
      <c r="E69" s="45">
        <v>577.75123152709352</v>
      </c>
    </row>
    <row r="70" spans="2:5" x14ac:dyDescent="0.2">
      <c r="B70" s="16">
        <v>39600</v>
      </c>
      <c r="C70" s="45">
        <v>761.06796116504847</v>
      </c>
      <c r="D70" s="45">
        <v>1068.4223300970873</v>
      </c>
      <c r="E70" s="45">
        <v>592.754854368932</v>
      </c>
    </row>
    <row r="71" spans="2:5" x14ac:dyDescent="0.2">
      <c r="B71" s="16">
        <v>39692</v>
      </c>
      <c r="C71" s="45">
        <v>714.45497630331749</v>
      </c>
      <c r="D71" s="45">
        <v>1028.8151658767772</v>
      </c>
      <c r="E71" s="45">
        <v>557.27488151658758</v>
      </c>
    </row>
    <row r="72" spans="2:5" x14ac:dyDescent="0.2">
      <c r="B72" s="16">
        <v>39783</v>
      </c>
      <c r="C72" s="45">
        <v>661.67409144196949</v>
      </c>
      <c r="D72" s="45">
        <v>989.68347010550997</v>
      </c>
      <c r="E72" s="45">
        <v>537.25674091441965</v>
      </c>
    </row>
    <row r="73" spans="2:5" x14ac:dyDescent="0.2">
      <c r="B73" s="16">
        <v>39873</v>
      </c>
      <c r="C73" s="45">
        <v>679.5157159487776</v>
      </c>
      <c r="D73" s="45">
        <v>1003.8300349243304</v>
      </c>
      <c r="E73" s="45">
        <v>589.662398137369</v>
      </c>
    </row>
    <row r="74" spans="2:5" x14ac:dyDescent="0.2">
      <c r="B74" s="16">
        <v>39965</v>
      </c>
      <c r="C74" s="45">
        <v>705.00345224395846</v>
      </c>
      <c r="D74" s="45">
        <v>1042.2393555811277</v>
      </c>
      <c r="E74" s="45">
        <v>596.75489067894125</v>
      </c>
    </row>
    <row r="75" spans="2:5" x14ac:dyDescent="0.2">
      <c r="B75" s="16">
        <v>40057</v>
      </c>
      <c r="C75" s="45">
        <v>687.23281596452318</v>
      </c>
      <c r="D75" s="45">
        <v>997.42350332594231</v>
      </c>
      <c r="E75" s="45">
        <v>562.8891352549889</v>
      </c>
    </row>
    <row r="76" spans="2:5" x14ac:dyDescent="0.2">
      <c r="B76" s="16">
        <v>40148</v>
      </c>
      <c r="C76" s="45">
        <v>770.35242290748897</v>
      </c>
      <c r="D76" s="45">
        <v>1082.4779735682819</v>
      </c>
      <c r="E76" s="45">
        <v>584.40528634361237</v>
      </c>
    </row>
    <row r="77" spans="2:5" x14ac:dyDescent="0.2">
      <c r="B77" s="16">
        <v>40238</v>
      </c>
      <c r="C77" s="45">
        <v>751.77510917030565</v>
      </c>
      <c r="D77" s="45">
        <v>1116.4716157205241</v>
      </c>
      <c r="E77" s="45">
        <v>638.54803493449788</v>
      </c>
    </row>
    <row r="78" spans="2:5" x14ac:dyDescent="0.2">
      <c r="B78" s="16">
        <v>40330</v>
      </c>
      <c r="C78" s="45">
        <v>870.78175895765469</v>
      </c>
      <c r="D78" s="45">
        <v>1170.6449511400651</v>
      </c>
      <c r="E78" s="45">
        <v>648.17589576547232</v>
      </c>
    </row>
    <row r="79" spans="2:5" x14ac:dyDescent="0.2">
      <c r="B79" s="16">
        <v>40422</v>
      </c>
      <c r="C79" s="45">
        <v>755.35031847133757</v>
      </c>
      <c r="D79" s="45">
        <v>1139.4267515923566</v>
      </c>
      <c r="E79" s="45">
        <v>585.07643312101914</v>
      </c>
    </row>
    <row r="80" spans="2:5" x14ac:dyDescent="0.2">
      <c r="B80" s="16">
        <v>40513</v>
      </c>
      <c r="C80" s="45">
        <v>831.50526315789477</v>
      </c>
      <c r="D80" s="45">
        <v>1120.9452631578947</v>
      </c>
      <c r="E80" s="45">
        <v>609.34736842105258</v>
      </c>
    </row>
    <row r="81" spans="2:5" x14ac:dyDescent="0.2">
      <c r="B81" s="16">
        <v>40603</v>
      </c>
      <c r="C81" s="45">
        <v>753.74999999999989</v>
      </c>
      <c r="D81" s="45">
        <v>1079.1187499999999</v>
      </c>
      <c r="E81" s="45">
        <v>561.54374999999993</v>
      </c>
    </row>
    <row r="82" spans="2:5" x14ac:dyDescent="0.2">
      <c r="B82" s="16">
        <v>40695</v>
      </c>
      <c r="C82" s="45">
        <v>837.22314049586771</v>
      </c>
      <c r="D82" s="45">
        <v>1105.0847107438017</v>
      </c>
      <c r="E82" s="45">
        <v>591.78719008264454</v>
      </c>
    </row>
    <row r="83" spans="2:5" x14ac:dyDescent="0.2">
      <c r="B83" s="16">
        <v>40787</v>
      </c>
      <c r="C83" s="45">
        <v>730.17154389505549</v>
      </c>
      <c r="D83" s="45">
        <v>1069.7013118062564</v>
      </c>
      <c r="E83" s="45">
        <v>638.90010090817361</v>
      </c>
    </row>
    <row r="84" spans="2:5" x14ac:dyDescent="0.2">
      <c r="B84" s="16">
        <v>40878</v>
      </c>
      <c r="C84" s="45">
        <v>651.33667334669337</v>
      </c>
      <c r="D84" s="45">
        <v>1048.9058116232466</v>
      </c>
      <c r="E84" s="45">
        <v>610.25050100200406</v>
      </c>
    </row>
    <row r="85" spans="2:5" x14ac:dyDescent="0.2">
      <c r="B85" s="16">
        <v>40969</v>
      </c>
      <c r="C85" s="45">
        <v>686.73326673326676</v>
      </c>
      <c r="D85" s="45">
        <v>1060.2197802197802</v>
      </c>
      <c r="E85" s="45">
        <v>650.58941058941059</v>
      </c>
    </row>
    <row r="86" spans="2:5" x14ac:dyDescent="0.2">
      <c r="B86" s="16">
        <v>41061</v>
      </c>
      <c r="C86" s="45">
        <v>710.46534653465346</v>
      </c>
      <c r="D86" s="45">
        <v>1050.7722772277227</v>
      </c>
      <c r="E86" s="45">
        <v>666.28514851485147</v>
      </c>
    </row>
    <row r="87" spans="2:5" x14ac:dyDescent="0.2">
      <c r="B87" s="16">
        <v>41153</v>
      </c>
      <c r="C87" s="45">
        <v>733.08149568552244</v>
      </c>
      <c r="D87" s="45">
        <v>1011.744966442953</v>
      </c>
      <c r="E87" s="45">
        <v>601.26558005752634</v>
      </c>
    </row>
    <row r="88" spans="2:5" x14ac:dyDescent="0.2">
      <c r="B88" s="16">
        <v>41244</v>
      </c>
      <c r="C88" s="45">
        <v>826.18458610846824</v>
      </c>
      <c r="D88" s="45">
        <v>1032.7307326355851</v>
      </c>
      <c r="E88" s="45">
        <v>625.37583254043773</v>
      </c>
    </row>
    <row r="89" spans="2:5" x14ac:dyDescent="0.2">
      <c r="B89" s="16">
        <v>41334</v>
      </c>
      <c r="C89" s="45">
        <v>734.53257790368264</v>
      </c>
      <c r="D89" s="45">
        <v>1036.3172804532578</v>
      </c>
      <c r="E89" s="45">
        <v>620.65155807365431</v>
      </c>
    </row>
    <row r="90" spans="2:5" x14ac:dyDescent="0.2">
      <c r="B90" s="16">
        <v>41426</v>
      </c>
      <c r="C90" s="45">
        <v>788.53846153846143</v>
      </c>
      <c r="D90" s="45">
        <v>1041.9568480300186</v>
      </c>
      <c r="E90" s="45">
        <v>667.48592870544087</v>
      </c>
    </row>
    <row r="91" spans="2:5" x14ac:dyDescent="0.2">
      <c r="B91" s="16">
        <v>41518</v>
      </c>
      <c r="C91" s="45">
        <v>722.48847926267285</v>
      </c>
      <c r="D91" s="45">
        <v>1098.1824884792627</v>
      </c>
      <c r="E91" s="45">
        <v>663.57788018433178</v>
      </c>
    </row>
    <row r="92" spans="2:5" x14ac:dyDescent="0.2">
      <c r="B92" s="16">
        <v>41609</v>
      </c>
      <c r="C92" s="45">
        <v>717.85714285714278</v>
      </c>
      <c r="D92" s="45">
        <v>1215.9395604395602</v>
      </c>
      <c r="E92" s="45">
        <v>706.81318681318669</v>
      </c>
    </row>
    <row r="93" spans="2:5" x14ac:dyDescent="0.2">
      <c r="B93" s="16">
        <v>41699</v>
      </c>
      <c r="C93" s="45">
        <v>767.3546034639927</v>
      </c>
      <c r="D93" s="45">
        <v>1264.2661804922516</v>
      </c>
      <c r="E93" s="45">
        <v>714.58523245214212</v>
      </c>
    </row>
    <row r="94" spans="2:5" x14ac:dyDescent="0.2">
      <c r="B94" s="16">
        <v>41791</v>
      </c>
      <c r="C94" s="45">
        <v>781.50541516245482</v>
      </c>
      <c r="D94" s="45">
        <v>1351.8519855595666</v>
      </c>
      <c r="E94" s="45">
        <v>707.49097472924188</v>
      </c>
    </row>
    <row r="95" spans="2:5" x14ac:dyDescent="0.2">
      <c r="B95" s="16">
        <v>41883</v>
      </c>
      <c r="C95" s="45">
        <v>788.16472694717993</v>
      </c>
      <c r="D95" s="45">
        <v>1403.5810205908683</v>
      </c>
      <c r="E95" s="45">
        <v>687.7547000895255</v>
      </c>
    </row>
    <row r="96" spans="2:5" x14ac:dyDescent="0.2">
      <c r="B96" s="16">
        <v>41974</v>
      </c>
      <c r="C96" s="45">
        <v>899.6802841918294</v>
      </c>
      <c r="D96" s="45">
        <v>1397.7175843694492</v>
      </c>
      <c r="E96" s="45">
        <v>696.18117229129655</v>
      </c>
    </row>
    <row r="97" spans="2:5" x14ac:dyDescent="0.2">
      <c r="B97" s="16">
        <v>42064</v>
      </c>
      <c r="C97" s="45">
        <v>788.7834507042254</v>
      </c>
      <c r="D97" s="45">
        <v>1486.267605633803</v>
      </c>
      <c r="E97" s="45">
        <v>700.66901408450713</v>
      </c>
    </row>
    <row r="98" spans="2:5" x14ac:dyDescent="0.2">
      <c r="B98" s="16">
        <v>42156</v>
      </c>
      <c r="C98" s="45">
        <v>913.15926892950381</v>
      </c>
      <c r="D98" s="45">
        <v>1601.7023498694516</v>
      </c>
      <c r="E98" s="45">
        <v>765.16449086161879</v>
      </c>
    </row>
    <row r="99" spans="2:5" x14ac:dyDescent="0.2">
      <c r="B99" s="16">
        <v>42248</v>
      </c>
      <c r="C99" s="45">
        <v>943.00608166811469</v>
      </c>
      <c r="D99" s="45">
        <v>1651.3084274543874</v>
      </c>
      <c r="E99" s="45">
        <v>756.50043440486525</v>
      </c>
    </row>
    <row r="100" spans="2:5" x14ac:dyDescent="0.2">
      <c r="B100" s="16">
        <v>42339</v>
      </c>
      <c r="C100" s="45">
        <v>919.65337954939332</v>
      </c>
      <c r="D100" s="45">
        <v>1567.5909878682839</v>
      </c>
      <c r="E100" s="45">
        <v>680.3344887348353</v>
      </c>
    </row>
    <row r="101" spans="2:5" x14ac:dyDescent="0.2">
      <c r="B101" s="16">
        <v>42430</v>
      </c>
      <c r="C101" s="45">
        <v>910.48317515099211</v>
      </c>
      <c r="D101" s="45">
        <v>1584.7610008628126</v>
      </c>
      <c r="E101" s="45">
        <v>689.88610871440892</v>
      </c>
    </row>
    <row r="102" spans="2:5" x14ac:dyDescent="0.2">
      <c r="B102" s="16">
        <v>42522</v>
      </c>
      <c r="C102" s="45">
        <v>1077.8560411311055</v>
      </c>
      <c r="D102" s="45">
        <v>1589.3984575835475</v>
      </c>
      <c r="E102" s="45">
        <v>769.89717223650382</v>
      </c>
    </row>
    <row r="103" spans="2:5" x14ac:dyDescent="0.2">
      <c r="B103" s="16">
        <v>42614</v>
      </c>
      <c r="C103" s="45">
        <v>911.63006756756738</v>
      </c>
      <c r="D103" s="45">
        <v>1578.8006756756754</v>
      </c>
      <c r="E103" s="45">
        <v>744.5827702702702</v>
      </c>
    </row>
    <row r="104" spans="2:5" x14ac:dyDescent="0.2">
      <c r="B104" s="16">
        <v>42705</v>
      </c>
      <c r="C104" s="45">
        <v>1015.4722689075629</v>
      </c>
      <c r="D104" s="45">
        <v>1686.3731092436974</v>
      </c>
      <c r="E104" s="45">
        <v>729.68067226890753</v>
      </c>
    </row>
    <row r="105" spans="2:5" x14ac:dyDescent="0.2">
      <c r="B105" s="16">
        <v>42795</v>
      </c>
      <c r="C105" s="45">
        <v>875.80968280467448</v>
      </c>
      <c r="D105" s="45">
        <v>1796.9198664440735</v>
      </c>
      <c r="E105" s="45">
        <v>728.83472454090145</v>
      </c>
    </row>
    <row r="106" spans="2:5" x14ac:dyDescent="0.2">
      <c r="B106" s="16"/>
      <c r="D106" s="44"/>
    </row>
    <row r="107" spans="2:5" x14ac:dyDescent="0.2">
      <c r="C107">
        <f>((C105/C4)^(1/27)-1)*103</f>
        <v>3.0420362423915481</v>
      </c>
      <c r="D107">
        <f t="shared" ref="D107:E107" si="0">((D105/D4)^(1/27)-1)*103</f>
        <v>5.5885441161513416</v>
      </c>
      <c r="E107">
        <f t="shared" si="0"/>
        <v>3.0664526177204605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B28" sqref="B28"/>
    </sheetView>
  </sheetViews>
  <sheetFormatPr baseColWidth="10" defaultRowHeight="15" x14ac:dyDescent="0.2"/>
  <cols>
    <col min="1" max="1" width="26.33203125" bestFit="1" customWidth="1"/>
    <col min="2" max="3" width="25.83203125" bestFit="1" customWidth="1"/>
    <col min="4" max="4" width="10" bestFit="1" customWidth="1"/>
  </cols>
  <sheetData>
    <row r="3" spans="1:4" x14ac:dyDescent="0.2">
      <c r="A3" s="30" t="s">
        <v>201</v>
      </c>
      <c r="B3" s="30" t="s">
        <v>181</v>
      </c>
      <c r="C3" s="28"/>
      <c r="D3" s="29"/>
    </row>
    <row r="4" spans="1:4" x14ac:dyDescent="0.2">
      <c r="A4" s="30" t="s">
        <v>182</v>
      </c>
      <c r="B4" s="27" t="s">
        <v>97</v>
      </c>
      <c r="C4" s="31" t="s">
        <v>4</v>
      </c>
      <c r="D4" s="32" t="s">
        <v>165</v>
      </c>
    </row>
    <row r="5" spans="1:4" x14ac:dyDescent="0.2">
      <c r="A5" s="27" t="s">
        <v>174</v>
      </c>
      <c r="B5" s="72">
        <v>960</v>
      </c>
      <c r="C5" s="73">
        <v>1080</v>
      </c>
      <c r="D5" s="74">
        <v>2040</v>
      </c>
    </row>
    <row r="6" spans="1:4" x14ac:dyDescent="0.2">
      <c r="A6" s="34" t="s">
        <v>175</v>
      </c>
      <c r="B6" s="75">
        <v>1260</v>
      </c>
      <c r="C6" s="48">
        <v>2161</v>
      </c>
      <c r="D6" s="76">
        <v>3421</v>
      </c>
    </row>
    <row r="7" spans="1:4" x14ac:dyDescent="0.2">
      <c r="A7" s="34" t="s">
        <v>176</v>
      </c>
      <c r="B7" s="75">
        <v>780</v>
      </c>
      <c r="C7" s="48">
        <v>860</v>
      </c>
      <c r="D7" s="76">
        <v>1640</v>
      </c>
    </row>
    <row r="8" spans="1:4" x14ac:dyDescent="0.2">
      <c r="A8" s="33" t="s">
        <v>165</v>
      </c>
      <c r="B8" s="69">
        <v>3000</v>
      </c>
      <c r="C8" s="70">
        <v>4101</v>
      </c>
      <c r="D8" s="71">
        <v>7101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7"/>
  <sheetViews>
    <sheetView tabSelected="1" topLeftCell="E1" workbookViewId="0">
      <selection activeCell="H16" sqref="H16"/>
    </sheetView>
  </sheetViews>
  <sheetFormatPr baseColWidth="10" defaultRowHeight="15" x14ac:dyDescent="0.2"/>
  <cols>
    <col min="4" max="6" width="25.83203125" bestFit="1" customWidth="1"/>
    <col min="7" max="8" width="10" bestFit="1" customWidth="1"/>
  </cols>
  <sheetData>
    <row r="3" spans="1:15" ht="64" x14ac:dyDescent="0.2">
      <c r="A3" s="63" t="s">
        <v>179</v>
      </c>
      <c r="B3" s="63" t="s">
        <v>97</v>
      </c>
      <c r="C3" s="63" t="s">
        <v>180</v>
      </c>
      <c r="D3" s="63" t="s">
        <v>181</v>
      </c>
      <c r="E3" s="63" t="s">
        <v>182</v>
      </c>
      <c r="F3" s="64" t="s">
        <v>183</v>
      </c>
      <c r="G3" s="64" t="s">
        <v>184</v>
      </c>
      <c r="H3" s="64" t="s">
        <v>185</v>
      </c>
      <c r="I3" s="64" t="s">
        <v>186</v>
      </c>
      <c r="J3" s="64" t="s">
        <v>187</v>
      </c>
      <c r="K3" s="65" t="s">
        <v>188</v>
      </c>
      <c r="L3" s="66" t="s">
        <v>189</v>
      </c>
      <c r="M3" s="66" t="s">
        <v>190</v>
      </c>
      <c r="N3" s="66" t="s">
        <v>191</v>
      </c>
    </row>
    <row r="4" spans="1:15" x14ac:dyDescent="0.2">
      <c r="A4" t="s">
        <v>192</v>
      </c>
      <c r="B4" t="s">
        <v>192</v>
      </c>
      <c r="C4" t="s">
        <v>192</v>
      </c>
      <c r="D4" t="s">
        <v>4</v>
      </c>
      <c r="E4" t="s">
        <v>174</v>
      </c>
      <c r="F4" s="40">
        <v>768</v>
      </c>
      <c r="G4" s="40">
        <v>1080</v>
      </c>
      <c r="H4" s="40">
        <v>1900</v>
      </c>
      <c r="I4" s="40">
        <v>1348</v>
      </c>
      <c r="J4" s="40">
        <v>861</v>
      </c>
      <c r="K4" s="67">
        <v>0.14530000000000001</v>
      </c>
      <c r="L4" s="67">
        <v>0.1416</v>
      </c>
      <c r="M4" s="67">
        <v>0.29089999999999999</v>
      </c>
      <c r="N4" s="67">
        <v>1.2718</v>
      </c>
    </row>
    <row r="5" spans="1:15" x14ac:dyDescent="0.2">
      <c r="A5" t="s">
        <v>192</v>
      </c>
      <c r="B5" t="s">
        <v>192</v>
      </c>
      <c r="C5" t="s">
        <v>192</v>
      </c>
      <c r="D5" t="s">
        <v>4</v>
      </c>
      <c r="E5" t="s">
        <v>175</v>
      </c>
      <c r="F5" s="40">
        <v>1878</v>
      </c>
      <c r="G5" s="40">
        <v>2161</v>
      </c>
      <c r="H5" s="40">
        <v>2555</v>
      </c>
      <c r="I5" s="40">
        <v>2215</v>
      </c>
      <c r="J5" s="40">
        <v>268</v>
      </c>
      <c r="K5" s="67">
        <v>8.8700000000000001E-2</v>
      </c>
      <c r="L5" s="67">
        <v>0.26740000000000003</v>
      </c>
      <c r="M5" s="67">
        <v>0.48070000000000002</v>
      </c>
      <c r="N5" s="67">
        <v>1.2712000000000001</v>
      </c>
    </row>
    <row r="6" spans="1:15" x14ac:dyDescent="0.2">
      <c r="A6" t="s">
        <v>192</v>
      </c>
      <c r="B6" t="s">
        <v>192</v>
      </c>
      <c r="C6" t="s">
        <v>192</v>
      </c>
      <c r="D6" t="s">
        <v>4</v>
      </c>
      <c r="E6" t="s">
        <v>176</v>
      </c>
      <c r="F6" s="40">
        <v>690</v>
      </c>
      <c r="G6" s="40">
        <v>860</v>
      </c>
      <c r="H6" s="40">
        <v>1109</v>
      </c>
      <c r="I6" s="40">
        <v>956</v>
      </c>
      <c r="J6" s="40">
        <v>593</v>
      </c>
      <c r="K6" s="67">
        <v>4.3700000000000003E-2</v>
      </c>
      <c r="L6" s="67">
        <v>0.1169</v>
      </c>
      <c r="M6" s="67">
        <v>0.22020000000000001</v>
      </c>
      <c r="N6" s="67">
        <v>1.272</v>
      </c>
    </row>
    <row r="7" spans="1:15" x14ac:dyDescent="0.2">
      <c r="A7" t="s">
        <v>192</v>
      </c>
      <c r="B7" t="s">
        <v>97</v>
      </c>
      <c r="C7" t="s">
        <v>192</v>
      </c>
      <c r="D7" t="s">
        <v>97</v>
      </c>
      <c r="E7" t="s">
        <v>174</v>
      </c>
      <c r="F7" s="40">
        <v>723</v>
      </c>
      <c r="G7" s="40">
        <v>960</v>
      </c>
      <c r="H7" s="40">
        <v>1530</v>
      </c>
      <c r="I7" s="40">
        <v>1303</v>
      </c>
      <c r="J7" s="68">
        <v>26297</v>
      </c>
      <c r="K7" s="67">
        <v>6.6699999999999995E-2</v>
      </c>
      <c r="L7" s="67">
        <v>0.10979999999999999</v>
      </c>
      <c r="M7" s="67">
        <v>0.13569999999999999</v>
      </c>
      <c r="N7" s="67">
        <v>0.90269999999999995</v>
      </c>
    </row>
    <row r="8" spans="1:15" x14ac:dyDescent="0.2">
      <c r="A8" t="s">
        <v>192</v>
      </c>
      <c r="B8" t="s">
        <v>97</v>
      </c>
      <c r="C8" t="s">
        <v>192</v>
      </c>
      <c r="D8" t="s">
        <v>97</v>
      </c>
      <c r="E8" t="s">
        <v>175</v>
      </c>
      <c r="F8" s="40">
        <v>860</v>
      </c>
      <c r="G8" s="40">
        <v>1260</v>
      </c>
      <c r="H8" s="40">
        <v>1930</v>
      </c>
      <c r="I8" s="40">
        <v>1610</v>
      </c>
      <c r="J8" s="68">
        <v>13997</v>
      </c>
      <c r="K8" s="67">
        <v>9.5699999999999993E-2</v>
      </c>
      <c r="L8" s="67">
        <v>0.26</v>
      </c>
      <c r="M8" s="67">
        <v>0.1313</v>
      </c>
      <c r="N8" s="67">
        <v>0.69310000000000005</v>
      </c>
    </row>
    <row r="9" spans="1:15" x14ac:dyDescent="0.2">
      <c r="A9" t="s">
        <v>192</v>
      </c>
      <c r="B9" t="s">
        <v>97</v>
      </c>
      <c r="C9" t="s">
        <v>192</v>
      </c>
      <c r="D9" t="s">
        <v>97</v>
      </c>
      <c r="E9" t="s">
        <v>176</v>
      </c>
      <c r="F9" s="40">
        <v>618</v>
      </c>
      <c r="G9" s="40">
        <v>780</v>
      </c>
      <c r="H9" s="40">
        <v>1085</v>
      </c>
      <c r="I9" s="40">
        <v>954</v>
      </c>
      <c r="J9" s="68">
        <v>12300</v>
      </c>
      <c r="K9" s="67">
        <v>0.04</v>
      </c>
      <c r="L9" s="67">
        <v>4.7E-2</v>
      </c>
      <c r="M9" s="67">
        <v>0.14080000000000001</v>
      </c>
      <c r="N9" s="67">
        <v>1.2145999999999999</v>
      </c>
    </row>
    <row r="10" spans="1:15" x14ac:dyDescent="0.2">
      <c r="A10" t="s">
        <v>192</v>
      </c>
      <c r="B10" t="s">
        <v>192</v>
      </c>
      <c r="C10" t="s">
        <v>3</v>
      </c>
      <c r="D10" t="s">
        <v>192</v>
      </c>
      <c r="E10" t="s">
        <v>192</v>
      </c>
      <c r="F10" s="40">
        <v>695</v>
      </c>
      <c r="G10" s="40">
        <v>970</v>
      </c>
      <c r="H10" s="40">
        <v>1500</v>
      </c>
      <c r="I10" s="40">
        <v>1250</v>
      </c>
      <c r="J10" s="68">
        <v>8367</v>
      </c>
      <c r="K10" s="67">
        <v>7.7799999999999994E-2</v>
      </c>
      <c r="L10" s="67">
        <v>7.7799999999999994E-2</v>
      </c>
      <c r="M10" s="67">
        <v>0.17</v>
      </c>
      <c r="N10" s="67">
        <v>1.147</v>
      </c>
    </row>
    <row r="11" spans="1:15" x14ac:dyDescent="0.2">
      <c r="A11" t="s">
        <v>192</v>
      </c>
      <c r="B11" t="s">
        <v>192</v>
      </c>
      <c r="C11" t="s">
        <v>3</v>
      </c>
      <c r="D11" t="s">
        <v>192</v>
      </c>
      <c r="E11" t="s">
        <v>175</v>
      </c>
      <c r="F11" s="40">
        <v>1200</v>
      </c>
      <c r="G11" s="40">
        <v>1560</v>
      </c>
      <c r="H11" s="40">
        <v>2250</v>
      </c>
      <c r="I11" s="40">
        <v>1847</v>
      </c>
      <c r="J11" s="68">
        <v>3578</v>
      </c>
      <c r="K11" s="67">
        <v>5.8500000000000003E-2</v>
      </c>
      <c r="L11" s="67">
        <v>0.20019999999999999</v>
      </c>
      <c r="M11" s="67">
        <v>0.24279999999999999</v>
      </c>
      <c r="N11" s="67">
        <v>0.90720000000000001</v>
      </c>
    </row>
    <row r="12" spans="1:15" x14ac:dyDescent="0.2">
      <c r="A12" t="s">
        <v>192</v>
      </c>
      <c r="B12" t="s">
        <v>192</v>
      </c>
      <c r="C12" t="s">
        <v>3</v>
      </c>
      <c r="D12" t="s">
        <v>192</v>
      </c>
      <c r="E12" t="s">
        <v>176</v>
      </c>
      <c r="F12" s="40">
        <v>600</v>
      </c>
      <c r="G12" s="40">
        <v>730</v>
      </c>
      <c r="H12" s="40">
        <v>912</v>
      </c>
      <c r="I12" s="40">
        <v>804</v>
      </c>
      <c r="J12" s="68">
        <v>4789</v>
      </c>
      <c r="K12" s="67">
        <v>2.1000000000000001E-2</v>
      </c>
      <c r="L12" s="67">
        <v>6.5699999999999995E-2</v>
      </c>
      <c r="M12" s="67">
        <v>0.121</v>
      </c>
      <c r="N12" s="67">
        <v>1.3695999999999999</v>
      </c>
    </row>
    <row r="15" spans="1:15" x14ac:dyDescent="0.2">
      <c r="J15" s="67">
        <v>0.14530000000000001</v>
      </c>
      <c r="K15" s="67">
        <v>6.6699999999999995E-2</v>
      </c>
    </row>
    <row r="16" spans="1:15" x14ac:dyDescent="0.2">
      <c r="G16" s="40"/>
      <c r="J16" s="67">
        <v>8.8700000000000001E-2</v>
      </c>
      <c r="K16" s="67">
        <v>9.5699999999999993E-2</v>
      </c>
      <c r="M16" t="s">
        <v>4</v>
      </c>
      <c r="N16" t="s">
        <v>97</v>
      </c>
      <c r="O16" t="s">
        <v>3</v>
      </c>
    </row>
    <row r="17" spans="4:15" x14ac:dyDescent="0.2">
      <c r="G17" s="40"/>
      <c r="J17" s="67">
        <v>4.3700000000000003E-2</v>
      </c>
      <c r="K17" s="67">
        <v>0.04</v>
      </c>
      <c r="L17" t="s">
        <v>174</v>
      </c>
      <c r="M17" s="86">
        <v>1080</v>
      </c>
      <c r="N17" s="86">
        <v>960</v>
      </c>
      <c r="O17" s="86">
        <v>970</v>
      </c>
    </row>
    <row r="18" spans="4:15" x14ac:dyDescent="0.2">
      <c r="G18" s="40"/>
      <c r="L18" t="s">
        <v>175</v>
      </c>
      <c r="M18" s="86">
        <v>2161</v>
      </c>
      <c r="N18" s="86">
        <v>1260</v>
      </c>
      <c r="O18" s="86">
        <v>1560</v>
      </c>
    </row>
    <row r="19" spans="4:15" x14ac:dyDescent="0.2">
      <c r="F19" t="s">
        <v>4</v>
      </c>
      <c r="G19" t="s">
        <v>97</v>
      </c>
      <c r="H19" t="s">
        <v>3</v>
      </c>
      <c r="L19" t="s">
        <v>176</v>
      </c>
      <c r="M19" s="86">
        <v>860</v>
      </c>
      <c r="N19" s="86">
        <v>780</v>
      </c>
      <c r="O19" s="86">
        <v>730</v>
      </c>
    </row>
    <row r="20" spans="4:15" x14ac:dyDescent="0.2">
      <c r="E20">
        <v>2017</v>
      </c>
      <c r="F20" s="87">
        <v>870</v>
      </c>
      <c r="G20" s="88">
        <v>810</v>
      </c>
      <c r="H20" s="86">
        <v>866</v>
      </c>
    </row>
    <row r="21" spans="4:15" x14ac:dyDescent="0.2">
      <c r="E21">
        <v>2021</v>
      </c>
      <c r="F21" s="86">
        <v>768</v>
      </c>
      <c r="G21" s="86">
        <v>723</v>
      </c>
      <c r="H21" s="86">
        <v>695</v>
      </c>
    </row>
    <row r="32" spans="4:15" x14ac:dyDescent="0.2">
      <c r="D32" s="30" t="s">
        <v>193</v>
      </c>
      <c r="E32" s="30" t="s">
        <v>181</v>
      </c>
      <c r="F32" s="28"/>
      <c r="G32" s="29"/>
    </row>
    <row r="33" spans="4:7" x14ac:dyDescent="0.2">
      <c r="D33" s="30" t="s">
        <v>182</v>
      </c>
      <c r="E33" s="27" t="s">
        <v>4</v>
      </c>
      <c r="F33" s="31" t="s">
        <v>97</v>
      </c>
      <c r="G33" s="32" t="s">
        <v>165</v>
      </c>
    </row>
    <row r="34" spans="4:7" x14ac:dyDescent="0.2">
      <c r="D34" s="27" t="s">
        <v>174</v>
      </c>
      <c r="E34" s="72">
        <v>0.1416</v>
      </c>
      <c r="F34" s="73">
        <v>0.10979999999999999</v>
      </c>
      <c r="G34" s="74">
        <v>0.25140000000000001</v>
      </c>
    </row>
    <row r="35" spans="4:7" x14ac:dyDescent="0.2">
      <c r="D35" s="34" t="s">
        <v>175</v>
      </c>
      <c r="E35" s="75">
        <v>0.26740000000000003</v>
      </c>
      <c r="F35" s="48">
        <v>0.26</v>
      </c>
      <c r="G35" s="76">
        <v>0.52740000000000009</v>
      </c>
    </row>
    <row r="36" spans="4:7" x14ac:dyDescent="0.2">
      <c r="D36" s="34" t="s">
        <v>176</v>
      </c>
      <c r="E36" s="75">
        <v>0.1169</v>
      </c>
      <c r="F36" s="48">
        <v>4.7E-2</v>
      </c>
      <c r="G36" s="76">
        <v>0.16389999999999999</v>
      </c>
    </row>
    <row r="37" spans="4:7" x14ac:dyDescent="0.2">
      <c r="D37" s="33" t="s">
        <v>165</v>
      </c>
      <c r="E37" s="69">
        <v>0.52590000000000003</v>
      </c>
      <c r="F37" s="70">
        <v>0.4168</v>
      </c>
      <c r="G37" s="71">
        <v>0.94270000000000009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8"/>
  <sheetViews>
    <sheetView workbookViewId="0">
      <selection activeCell="E3" sqref="E3"/>
    </sheetView>
  </sheetViews>
  <sheetFormatPr baseColWidth="10" defaultRowHeight="15" x14ac:dyDescent="0.2"/>
  <cols>
    <col min="4" max="4" width="12.5" bestFit="1" customWidth="1"/>
    <col min="5" max="5" width="13.6640625" customWidth="1"/>
  </cols>
  <sheetData>
    <row r="2" spans="4:9" ht="48" x14ac:dyDescent="0.2">
      <c r="D2" s="77" t="s">
        <v>181</v>
      </c>
      <c r="E2" s="77" t="s">
        <v>182</v>
      </c>
      <c r="F2" s="64" t="s">
        <v>184</v>
      </c>
    </row>
    <row r="3" spans="4:9" x14ac:dyDescent="0.2">
      <c r="D3" s="78" t="s">
        <v>4</v>
      </c>
      <c r="E3" s="78" t="s">
        <v>174</v>
      </c>
      <c r="F3" s="40">
        <v>1080</v>
      </c>
      <c r="G3" s="40">
        <v>960</v>
      </c>
      <c r="H3">
        <f>F3-G3</f>
        <v>120</v>
      </c>
      <c r="I3" s="79">
        <f>(H3/F3)*100%</f>
        <v>0.1111111111111111</v>
      </c>
    </row>
    <row r="4" spans="4:9" x14ac:dyDescent="0.2">
      <c r="D4" s="78" t="s">
        <v>4</v>
      </c>
      <c r="E4" s="78" t="s">
        <v>175</v>
      </c>
      <c r="F4" s="40">
        <v>2161</v>
      </c>
      <c r="G4" s="40">
        <v>1260</v>
      </c>
      <c r="H4">
        <f t="shared" ref="H4:H5" si="0">F4-G4</f>
        <v>901</v>
      </c>
      <c r="I4" s="79">
        <f t="shared" ref="I4:I5" si="1">(H4/F4)*100%</f>
        <v>0.41693660342434058</v>
      </c>
    </row>
    <row r="5" spans="4:9" x14ac:dyDescent="0.2">
      <c r="D5" s="78" t="s">
        <v>4</v>
      </c>
      <c r="E5" s="78" t="s">
        <v>176</v>
      </c>
      <c r="F5" s="40">
        <v>860</v>
      </c>
      <c r="G5" s="40">
        <v>780</v>
      </c>
      <c r="H5">
        <f t="shared" si="0"/>
        <v>80</v>
      </c>
      <c r="I5" s="79">
        <f t="shared" si="1"/>
        <v>9.3023255813953487E-2</v>
      </c>
    </row>
    <row r="6" spans="4:9" x14ac:dyDescent="0.2">
      <c r="D6" s="78"/>
      <c r="E6" s="78"/>
      <c r="F6" s="40"/>
    </row>
    <row r="7" spans="4:9" x14ac:dyDescent="0.2">
      <c r="D7" s="78"/>
      <c r="E7" s="78"/>
      <c r="F7" s="40"/>
    </row>
    <row r="8" spans="4:9" x14ac:dyDescent="0.2">
      <c r="D8" s="78"/>
      <c r="E8" s="78"/>
      <c r="F8" s="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E110"/>
  <sheetViews>
    <sheetView topLeftCell="Q1" workbookViewId="0">
      <selection activeCell="Q3" activeCellId="1" sqref="K3 Q3"/>
    </sheetView>
  </sheetViews>
  <sheetFormatPr baseColWidth="10" defaultRowHeight="15" x14ac:dyDescent="0.2"/>
  <cols>
    <col min="4" max="4" width="10.83203125" style="43"/>
    <col min="5" max="5" width="15.5" style="43" customWidth="1"/>
    <col min="24" max="24" width="10.83203125" style="84"/>
    <col min="29" max="29" width="10.83203125" style="85"/>
  </cols>
  <sheetData>
    <row r="3" spans="2:31" x14ac:dyDescent="0.2">
      <c r="B3" s="3" t="s">
        <v>96</v>
      </c>
      <c r="C3" s="39" t="s">
        <v>82</v>
      </c>
      <c r="D3" s="81" t="s">
        <v>194</v>
      </c>
      <c r="E3" s="81" t="s">
        <v>195</v>
      </c>
      <c r="F3">
        <f>STDEV(F5:F109)*SQRT(100)</f>
        <v>0.7137647094362366</v>
      </c>
      <c r="G3" s="3" t="s">
        <v>96</v>
      </c>
      <c r="H3" s="6" t="s">
        <v>197</v>
      </c>
      <c r="I3" s="47" t="s">
        <v>194</v>
      </c>
      <c r="J3" s="47" t="s">
        <v>195</v>
      </c>
      <c r="K3">
        <f>STDEV(K5:K109)*SQRT(100)</f>
        <v>0.37809188887588657</v>
      </c>
      <c r="M3" s="3" t="s">
        <v>96</v>
      </c>
      <c r="N3" s="51" t="s">
        <v>176</v>
      </c>
      <c r="O3" s="47" t="s">
        <v>194</v>
      </c>
      <c r="P3" s="47" t="s">
        <v>195</v>
      </c>
      <c r="Q3">
        <f>STDEV(Q5:Q109)*SQRT(100)</f>
        <v>0.57249190352463031</v>
      </c>
      <c r="R3" s="3" t="s">
        <v>96</v>
      </c>
      <c r="S3" s="61" t="s">
        <v>196</v>
      </c>
      <c r="T3" s="47" t="s">
        <v>194</v>
      </c>
      <c r="U3" s="47" t="s">
        <v>195</v>
      </c>
      <c r="W3" s="3" t="s">
        <v>96</v>
      </c>
      <c r="X3" s="83" t="s">
        <v>198</v>
      </c>
      <c r="Y3" s="47" t="s">
        <v>194</v>
      </c>
      <c r="Z3" s="47" t="s">
        <v>195</v>
      </c>
      <c r="AB3" s="3" t="s">
        <v>96</v>
      </c>
      <c r="AC3" s="83" t="s">
        <v>199</v>
      </c>
      <c r="AD3" s="47" t="s">
        <v>194</v>
      </c>
      <c r="AE3" s="47" t="s">
        <v>195</v>
      </c>
    </row>
    <row r="4" spans="2:31" x14ac:dyDescent="0.2">
      <c r="B4" s="16">
        <v>33298</v>
      </c>
      <c r="C4" s="9">
        <v>176</v>
      </c>
      <c r="G4" s="16">
        <v>33298</v>
      </c>
      <c r="H4" s="9">
        <v>177</v>
      </c>
      <c r="M4" s="16">
        <v>33298</v>
      </c>
      <c r="R4" s="16">
        <v>33298</v>
      </c>
      <c r="S4" s="60">
        <v>150</v>
      </c>
      <c r="W4" s="16">
        <v>33298</v>
      </c>
      <c r="X4" s="59">
        <v>151</v>
      </c>
      <c r="AB4" s="16">
        <v>33298</v>
      </c>
      <c r="AC4" s="59">
        <v>135</v>
      </c>
    </row>
    <row r="5" spans="2:31" x14ac:dyDescent="0.2">
      <c r="B5" s="16">
        <v>33390</v>
      </c>
      <c r="C5" s="9">
        <v>175</v>
      </c>
      <c r="D5" s="82">
        <f>((C5-C4)/C4)</f>
        <v>-5.681818181818182E-3</v>
      </c>
      <c r="E5" s="43">
        <f>_xlfn.STDEV.P(D5:$D$108)</f>
        <v>7.1712065013216975E-2</v>
      </c>
      <c r="F5">
        <f>LN(1+D5)</f>
        <v>-5.6980211146377786E-3</v>
      </c>
      <c r="G5" s="16">
        <v>33390</v>
      </c>
      <c r="H5" s="9">
        <v>175</v>
      </c>
      <c r="I5" s="82">
        <f>((H5-H4)/H4)</f>
        <v>-1.1299435028248588E-2</v>
      </c>
      <c r="J5" s="43">
        <f>_xlfn.STDEV.P(I5:$I$109)</f>
        <v>0.10660927550710275</v>
      </c>
      <c r="K5">
        <f>LN(1+I5)</f>
        <v>-1.1363758650315095E-2</v>
      </c>
      <c r="M5" s="16">
        <v>33390</v>
      </c>
      <c r="R5" s="16">
        <v>33390</v>
      </c>
      <c r="S5" s="60">
        <v>155</v>
      </c>
      <c r="T5" s="82">
        <f>((S5-S4)/S4)</f>
        <v>3.3333333333333333E-2</v>
      </c>
      <c r="U5" s="44">
        <f>_xlfn.STDEV.P(T5:$T$109)</f>
        <v>0.10506048681485879</v>
      </c>
      <c r="W5" s="16">
        <v>33390</v>
      </c>
      <c r="X5" s="59">
        <v>155</v>
      </c>
      <c r="Y5" s="82">
        <f>((X5-X4)/X4)</f>
        <v>2.6490066225165563E-2</v>
      </c>
      <c r="Z5">
        <f>_xlfn.STDEV.P(Y5:$Y$109)</f>
        <v>0.11130974765726048</v>
      </c>
      <c r="AB5" s="16">
        <v>33390</v>
      </c>
      <c r="AC5" s="59">
        <v>140</v>
      </c>
      <c r="AD5" s="82">
        <f>((AC5-AC4)/AC4)</f>
        <v>3.7037037037037035E-2</v>
      </c>
      <c r="AE5">
        <f>_xlfn.STDEV.P(AD5:$AD$108)</f>
        <v>3.8773734574925611E-2</v>
      </c>
    </row>
    <row r="6" spans="2:31" x14ac:dyDescent="0.2">
      <c r="B6" s="16">
        <v>33482</v>
      </c>
      <c r="C6" s="9">
        <v>180</v>
      </c>
      <c r="D6" s="82">
        <f t="shared" ref="D6:D69" si="0">((C6-C5)/C5)</f>
        <v>2.8571428571428571E-2</v>
      </c>
      <c r="E6" s="43">
        <f>_xlfn.STDEV.P(D6:$D$108)</f>
        <v>7.2021027667492687E-2</v>
      </c>
      <c r="F6">
        <f t="shared" ref="F6:F69" si="1">LN(1+D6)</f>
        <v>2.8170876966696224E-2</v>
      </c>
      <c r="G6" s="16">
        <v>33482</v>
      </c>
      <c r="H6" s="9">
        <v>180</v>
      </c>
      <c r="I6" s="82">
        <f t="shared" ref="I6:I69" si="2">((H6-H5)/H5)</f>
        <v>2.8571428571428571E-2</v>
      </c>
      <c r="J6" s="43">
        <f>_xlfn.STDEV.P(I6:$I$109)</f>
        <v>0.10709282836385936</v>
      </c>
      <c r="K6">
        <f t="shared" ref="K6:K69" si="3">LN(1+I6)</f>
        <v>2.8170876966696224E-2</v>
      </c>
      <c r="M6" s="16">
        <v>33482</v>
      </c>
      <c r="R6" s="16">
        <v>33482</v>
      </c>
      <c r="S6" s="60">
        <v>158</v>
      </c>
      <c r="T6" s="82">
        <f t="shared" ref="T6:T69" si="4">((S6-S5)/S5)</f>
        <v>1.935483870967742E-2</v>
      </c>
      <c r="U6" s="44">
        <f>_xlfn.STDEV.P(T6:$T$109)</f>
        <v>0.10553321256545499</v>
      </c>
      <c r="W6" s="16">
        <v>33482</v>
      </c>
      <c r="X6" s="59">
        <v>160</v>
      </c>
      <c r="Y6" s="82">
        <f t="shared" ref="Y6:Y69" si="5">((X6-X5)/X5)</f>
        <v>3.2258064516129031E-2</v>
      </c>
      <c r="Z6">
        <f>_xlfn.STDEV.P(Y6:$Y$109)</f>
        <v>0.11183018246443781</v>
      </c>
      <c r="AB6" s="16">
        <v>33482</v>
      </c>
      <c r="AC6" s="59">
        <v>137</v>
      </c>
      <c r="AD6" s="82">
        <f t="shared" ref="AD6:AD69" si="6">((AC6-AC5)/AC5)</f>
        <v>-2.1428571428571429E-2</v>
      </c>
      <c r="AE6">
        <f>_xlfn.STDEV.P(AD6:$AD$108)</f>
        <v>3.8910752789431298E-2</v>
      </c>
    </row>
    <row r="7" spans="2:31" x14ac:dyDescent="0.2">
      <c r="B7" s="16">
        <v>33573</v>
      </c>
      <c r="C7" s="9">
        <v>185</v>
      </c>
      <c r="D7" s="82">
        <f t="shared" si="0"/>
        <v>2.7777777777777776E-2</v>
      </c>
      <c r="E7" s="43">
        <f>_xlfn.STDEV.P(D7:$D$108)</f>
        <v>7.2365964423992818E-2</v>
      </c>
      <c r="F7">
        <f t="shared" si="1"/>
        <v>2.7398974188114347E-2</v>
      </c>
      <c r="G7" s="16">
        <v>33573</v>
      </c>
      <c r="H7" s="9">
        <v>200</v>
      </c>
      <c r="I7" s="82">
        <f t="shared" si="2"/>
        <v>0.1111111111111111</v>
      </c>
      <c r="J7" s="43">
        <f>_xlfn.STDEV.P(I7:$I$109)</f>
        <v>0.10760135446070083</v>
      </c>
      <c r="K7">
        <f t="shared" si="3"/>
        <v>0.10536051565782635</v>
      </c>
      <c r="M7" s="16">
        <v>33573</v>
      </c>
      <c r="N7" s="9">
        <v>153</v>
      </c>
      <c r="R7" s="16">
        <v>33573</v>
      </c>
      <c r="S7" s="60">
        <v>165</v>
      </c>
      <c r="T7" s="82">
        <f t="shared" si="4"/>
        <v>4.4303797468354431E-2</v>
      </c>
      <c r="U7" s="44">
        <f>_xlfn.STDEV.P(T7:$T$109)</f>
        <v>0.10603727475988155</v>
      </c>
      <c r="W7" s="16">
        <v>33573</v>
      </c>
      <c r="X7" s="59">
        <v>173</v>
      </c>
      <c r="Y7" s="82">
        <f t="shared" si="5"/>
        <v>8.1250000000000003E-2</v>
      </c>
      <c r="Z7">
        <f>_xlfn.STDEV.P(Y7:$Y$109)</f>
        <v>0.11234759075330583</v>
      </c>
      <c r="AB7" s="16">
        <v>33573</v>
      </c>
      <c r="AC7" s="59">
        <v>148</v>
      </c>
      <c r="AD7" s="82">
        <f t="shared" si="6"/>
        <v>8.0291970802919707E-2</v>
      </c>
      <c r="AE7">
        <f>_xlfn.STDEV.P(AD7:$AD$108)</f>
        <v>3.891592850899802E-2</v>
      </c>
    </row>
    <row r="8" spans="2:31" x14ac:dyDescent="0.2">
      <c r="B8" s="16">
        <v>33664</v>
      </c>
      <c r="C8" s="9">
        <v>182</v>
      </c>
      <c r="D8" s="82">
        <f t="shared" si="0"/>
        <v>-1.6216216216216217E-2</v>
      </c>
      <c r="E8" s="43">
        <f>_xlfn.STDEV.P(D8:$D$108)</f>
        <v>7.2716993230390173E-2</v>
      </c>
      <c r="F8">
        <f t="shared" si="1"/>
        <v>-1.6349138001529526E-2</v>
      </c>
      <c r="G8" s="16">
        <v>33664</v>
      </c>
      <c r="H8" s="9">
        <v>219</v>
      </c>
      <c r="I8" s="82">
        <f t="shared" si="2"/>
        <v>9.5000000000000001E-2</v>
      </c>
      <c r="J8" s="43">
        <f>_xlfn.STDEV.P(I8:$I$109)</f>
        <v>0.10769087486691167</v>
      </c>
      <c r="K8">
        <f t="shared" si="3"/>
        <v>9.0754363268464117E-2</v>
      </c>
      <c r="M8" s="16">
        <v>33664</v>
      </c>
      <c r="N8" s="9">
        <v>150</v>
      </c>
      <c r="O8" s="82">
        <f>((N8-N7)/N7)</f>
        <v>-1.9607843137254902E-2</v>
      </c>
      <c r="P8" s="44">
        <f>_xlfn.STDEV.P(O8:$O$109)</f>
        <v>0.11562487786727213</v>
      </c>
      <c r="Q8">
        <f>LN(1+O8)</f>
        <v>-1.9802627296179754E-2</v>
      </c>
      <c r="R8" s="16">
        <v>33664</v>
      </c>
      <c r="S8" s="60">
        <v>160</v>
      </c>
      <c r="T8" s="82">
        <f t="shared" si="4"/>
        <v>-3.0303030303030304E-2</v>
      </c>
      <c r="U8" s="44">
        <f>_xlfn.STDEV.P(T8:$T$109)</f>
        <v>0.10649089482892785</v>
      </c>
      <c r="W8" s="16">
        <v>33664</v>
      </c>
      <c r="X8" s="59">
        <v>170</v>
      </c>
      <c r="Y8" s="82">
        <f t="shared" si="5"/>
        <v>-1.7341040462427744E-2</v>
      </c>
      <c r="Z8">
        <f>_xlfn.STDEV.P(Y8:$Y$109)</f>
        <v>0.11266469712791249</v>
      </c>
      <c r="AB8" s="16">
        <v>33664</v>
      </c>
      <c r="AC8" s="59">
        <v>145</v>
      </c>
      <c r="AD8" s="82">
        <f t="shared" si="6"/>
        <v>-2.0270270270270271E-2</v>
      </c>
      <c r="AE8">
        <f>_xlfn.STDEV.P(AD8:$AD$108)</f>
        <v>3.859487072827078E-2</v>
      </c>
    </row>
    <row r="9" spans="2:31" x14ac:dyDescent="0.2">
      <c r="B9" s="16">
        <v>33756</v>
      </c>
      <c r="C9" s="9">
        <v>185</v>
      </c>
      <c r="D9" s="82">
        <f t="shared" si="0"/>
        <v>1.6483516483516484E-2</v>
      </c>
      <c r="E9" s="43">
        <f>_xlfn.STDEV.P(D9:$D$108)</f>
        <v>7.2998335463343833E-2</v>
      </c>
      <c r="F9">
        <f t="shared" si="1"/>
        <v>1.6349138001529411E-2</v>
      </c>
      <c r="G9" s="16">
        <v>33756</v>
      </c>
      <c r="H9" s="9">
        <v>220</v>
      </c>
      <c r="I9" s="82">
        <f t="shared" si="2"/>
        <v>4.5662100456621002E-3</v>
      </c>
      <c r="J9" s="43">
        <f>_xlfn.STDEV.P(I9:$I$109)</f>
        <v>0.10790848837284278</v>
      </c>
      <c r="K9">
        <f t="shared" si="3"/>
        <v>4.5558165358606613E-3</v>
      </c>
      <c r="M9" s="16">
        <v>33756</v>
      </c>
      <c r="N9" s="9">
        <v>154</v>
      </c>
      <c r="O9" s="82">
        <f t="shared" ref="O9:O72" si="7">((N9-N8)/N8)</f>
        <v>2.6666666666666668E-2</v>
      </c>
      <c r="P9" s="44">
        <f>_xlfn.STDEV.P(O9:$O$109)</f>
        <v>0.11616497751334527</v>
      </c>
      <c r="Q9">
        <f t="shared" ref="Q9:Q72" si="8">LN(1+O9)</f>
        <v>2.6317308317373358E-2</v>
      </c>
      <c r="R9" s="16">
        <v>33756</v>
      </c>
      <c r="S9" s="60">
        <v>165</v>
      </c>
      <c r="T9" s="82">
        <f t="shared" si="4"/>
        <v>3.125E-2</v>
      </c>
      <c r="U9" s="44">
        <f>_xlfn.STDEV.P(T9:$T$109)</f>
        <v>0.10695325969506707</v>
      </c>
      <c r="W9" s="16">
        <v>33756</v>
      </c>
      <c r="X9" s="59">
        <v>175</v>
      </c>
      <c r="Y9" s="82">
        <f t="shared" si="5"/>
        <v>2.9411764705882353E-2</v>
      </c>
      <c r="Z9">
        <f>_xlfn.STDEV.P(Y9:$Y$109)</f>
        <v>0.11319317790494871</v>
      </c>
      <c r="AB9" s="16">
        <v>33756</v>
      </c>
      <c r="AC9" s="59">
        <v>148</v>
      </c>
      <c r="AD9" s="82">
        <f t="shared" si="6"/>
        <v>2.0689655172413793E-2</v>
      </c>
      <c r="AE9">
        <f>_xlfn.STDEV.P(AD9:$AD$108)</f>
        <v>3.8610805611566996E-2</v>
      </c>
    </row>
    <row r="10" spans="2:31" x14ac:dyDescent="0.2">
      <c r="B10" s="16">
        <v>33848</v>
      </c>
      <c r="C10" s="9">
        <v>187</v>
      </c>
      <c r="D10" s="82">
        <f t="shared" si="0"/>
        <v>1.0810810810810811E-2</v>
      </c>
      <c r="E10" s="43">
        <f>_xlfn.STDEV.P(D10:$D$108)</f>
        <v>7.3365825327062692E-2</v>
      </c>
      <c r="F10">
        <f t="shared" si="1"/>
        <v>1.0752791776261697E-2</v>
      </c>
      <c r="G10" s="16">
        <v>33848</v>
      </c>
      <c r="H10" s="9">
        <v>210</v>
      </c>
      <c r="I10" s="82">
        <f t="shared" si="2"/>
        <v>-4.5454545454545456E-2</v>
      </c>
      <c r="J10" s="43">
        <f>_xlfn.STDEV.P(I10:$I$109)</f>
        <v>0.10844426945024688</v>
      </c>
      <c r="K10">
        <f t="shared" si="3"/>
        <v>-4.6520015634892817E-2</v>
      </c>
      <c r="M10" s="16">
        <v>33848</v>
      </c>
      <c r="N10" s="9">
        <v>159</v>
      </c>
      <c r="O10" s="82">
        <f t="shared" si="7"/>
        <v>3.2467532467532464E-2</v>
      </c>
      <c r="P10" s="44">
        <f>_xlfn.STDEV.P(O10:$O$109)</f>
        <v>0.11672838290130559</v>
      </c>
      <c r="Q10">
        <f t="shared" si="8"/>
        <v>3.1951599806602428E-2</v>
      </c>
      <c r="R10" s="16">
        <v>33848</v>
      </c>
      <c r="S10" s="60">
        <v>165</v>
      </c>
      <c r="T10" s="82">
        <f t="shared" si="4"/>
        <v>0</v>
      </c>
      <c r="U10" s="44">
        <f>_xlfn.STDEV.P(T10:$T$109)</f>
        <v>0.10745890391015638</v>
      </c>
      <c r="W10" s="16">
        <v>33848</v>
      </c>
      <c r="X10" s="59">
        <v>175</v>
      </c>
      <c r="Y10" s="82">
        <f t="shared" si="5"/>
        <v>0</v>
      </c>
      <c r="Z10">
        <f>_xlfn.STDEV.P(Y10:$Y$109)</f>
        <v>0.11373745528295177</v>
      </c>
      <c r="AB10" s="16">
        <v>33848</v>
      </c>
      <c r="AC10" s="59">
        <v>150</v>
      </c>
      <c r="AD10" s="82">
        <f t="shared" si="6"/>
        <v>1.3513513513513514E-2</v>
      </c>
      <c r="AE10">
        <f>_xlfn.STDEV.P(AD10:$AD$108)</f>
        <v>3.880341248010296E-2</v>
      </c>
    </row>
    <row r="11" spans="2:31" x14ac:dyDescent="0.2">
      <c r="B11" s="16">
        <v>33939</v>
      </c>
      <c r="C11" s="9">
        <v>195</v>
      </c>
      <c r="D11" s="82">
        <f t="shared" si="0"/>
        <v>4.2780748663101602E-2</v>
      </c>
      <c r="E11" s="43">
        <f>_xlfn.STDEV.P(D11:$D$108)</f>
        <v>7.3735116755845265E-2</v>
      </c>
      <c r="F11">
        <f t="shared" si="1"/>
        <v>4.1890941709160127E-2</v>
      </c>
      <c r="G11" s="16">
        <v>33939</v>
      </c>
      <c r="H11" s="9">
        <v>233</v>
      </c>
      <c r="I11" s="82">
        <f t="shared" si="2"/>
        <v>0.10952380952380952</v>
      </c>
      <c r="J11" s="43">
        <f>_xlfn.STDEV.P(I11:$I$109)</f>
        <v>0.10883679938359998</v>
      </c>
      <c r="K11">
        <f t="shared" si="3"/>
        <v>0.10393092284823194</v>
      </c>
      <c r="M11" s="16">
        <v>33939</v>
      </c>
      <c r="N11" s="9">
        <v>160</v>
      </c>
      <c r="O11" s="82">
        <f t="shared" si="7"/>
        <v>6.2893081761006293E-3</v>
      </c>
      <c r="P11" s="44">
        <f>_xlfn.STDEV.P(O11:$O$109)</f>
        <v>0.11728880010202736</v>
      </c>
      <c r="Q11">
        <f t="shared" si="8"/>
        <v>6.269613013595395E-3</v>
      </c>
      <c r="R11" s="16">
        <v>33939</v>
      </c>
      <c r="S11" s="60">
        <v>167</v>
      </c>
      <c r="T11" s="82">
        <f t="shared" si="4"/>
        <v>1.2121212121212121E-2</v>
      </c>
      <c r="U11" s="44">
        <f>_xlfn.STDEV.P(T11:$T$109)</f>
        <v>0.10799814985435305</v>
      </c>
      <c r="W11" s="16">
        <v>33939</v>
      </c>
      <c r="X11" s="59">
        <v>175</v>
      </c>
      <c r="Y11" s="82">
        <f t="shared" si="5"/>
        <v>0</v>
      </c>
      <c r="Z11">
        <f>_xlfn.STDEV.P(Y11:$Y$109)</f>
        <v>0.11430771089589149</v>
      </c>
      <c r="AB11" s="16">
        <v>33939</v>
      </c>
      <c r="AC11" s="59">
        <v>155</v>
      </c>
      <c r="AD11" s="82">
        <f t="shared" si="6"/>
        <v>3.3333333333333333E-2</v>
      </c>
      <c r="AE11">
        <f>_xlfn.STDEV.P(AD11:$AD$108)</f>
        <v>3.8999422160111423E-2</v>
      </c>
    </row>
    <row r="12" spans="2:31" x14ac:dyDescent="0.2">
      <c r="B12" s="16">
        <v>34029</v>
      </c>
      <c r="C12" s="9">
        <v>192</v>
      </c>
      <c r="D12" s="82">
        <f t="shared" si="0"/>
        <v>-1.5384615384615385E-2</v>
      </c>
      <c r="E12" s="43">
        <f>_xlfn.STDEV.P(D12:$D$108)</f>
        <v>7.4072861202508736E-2</v>
      </c>
      <c r="F12">
        <f t="shared" si="1"/>
        <v>-1.5504186535965199E-2</v>
      </c>
      <c r="G12" s="16">
        <v>34029</v>
      </c>
      <c r="H12" s="9">
        <v>230</v>
      </c>
      <c r="I12" s="82">
        <f t="shared" si="2"/>
        <v>-1.2875536480686695E-2</v>
      </c>
      <c r="J12" s="43">
        <f>_xlfn.STDEV.P(I12:$I$109)</f>
        <v>0.10894554967996707</v>
      </c>
      <c r="K12">
        <f t="shared" si="3"/>
        <v>-1.2959144642505228E-2</v>
      </c>
      <c r="M12" s="16">
        <v>34029</v>
      </c>
      <c r="N12" s="9">
        <v>164</v>
      </c>
      <c r="O12" s="82">
        <f t="shared" si="7"/>
        <v>2.5000000000000001E-2</v>
      </c>
      <c r="P12" s="44">
        <f>_xlfn.STDEV.P(O12:$O$109)</f>
        <v>0.11788567122942398</v>
      </c>
      <c r="Q12">
        <f t="shared" si="8"/>
        <v>2.4692612590371414E-2</v>
      </c>
      <c r="R12" s="16">
        <v>34029</v>
      </c>
      <c r="S12" s="60">
        <v>165</v>
      </c>
      <c r="T12" s="82">
        <f t="shared" si="4"/>
        <v>-1.1976047904191617E-2</v>
      </c>
      <c r="U12" s="44">
        <f>_xlfn.STDEV.P(T12:$T$109)</f>
        <v>0.10854639469839879</v>
      </c>
      <c r="W12" s="16">
        <v>34029</v>
      </c>
      <c r="X12" s="59">
        <v>171</v>
      </c>
      <c r="Y12" s="82">
        <f t="shared" si="5"/>
        <v>-2.2857142857142857E-2</v>
      </c>
      <c r="Z12">
        <f>_xlfn.STDEV.P(Y12:$Y$109)</f>
        <v>0.11488663058127283</v>
      </c>
      <c r="AB12" s="16">
        <v>34029</v>
      </c>
      <c r="AC12" s="59">
        <v>154</v>
      </c>
      <c r="AD12" s="82">
        <f t="shared" si="6"/>
        <v>-6.4516129032258064E-3</v>
      </c>
      <c r="AE12">
        <f>_xlfn.STDEV.P(AD12:$AD$108)</f>
        <v>3.9163937396924003E-2</v>
      </c>
    </row>
    <row r="13" spans="2:31" x14ac:dyDescent="0.2">
      <c r="B13" s="16">
        <v>34121</v>
      </c>
      <c r="C13" s="9">
        <v>195</v>
      </c>
      <c r="D13" s="82">
        <f t="shared" si="0"/>
        <v>1.5625E-2</v>
      </c>
      <c r="E13" s="43">
        <f>_xlfn.STDEV.P(D13:$D$108)</f>
        <v>7.4377547041165601E-2</v>
      </c>
      <c r="F13">
        <f t="shared" si="1"/>
        <v>1.5504186535965254E-2</v>
      </c>
      <c r="G13" s="16">
        <v>34121</v>
      </c>
      <c r="H13" s="9">
        <v>235</v>
      </c>
      <c r="I13" s="82">
        <f t="shared" si="2"/>
        <v>2.1739130434782608E-2</v>
      </c>
      <c r="J13" s="43">
        <f>_xlfn.STDEV.P(I13:$I$109)</f>
        <v>0.10947757710314403</v>
      </c>
      <c r="K13">
        <f t="shared" si="3"/>
        <v>2.1506205220963682E-2</v>
      </c>
      <c r="M13" s="16">
        <v>34121</v>
      </c>
      <c r="N13" s="9">
        <v>149</v>
      </c>
      <c r="O13" s="82">
        <f t="shared" si="7"/>
        <v>-9.1463414634146339E-2</v>
      </c>
      <c r="P13" s="44">
        <f>_xlfn.STDEV.P(O13:$O$109)</f>
        <v>0.11847754730956192</v>
      </c>
      <c r="Q13">
        <f t="shared" si="8"/>
        <v>-9.5920121878739245E-2</v>
      </c>
      <c r="R13" s="16">
        <v>34121</v>
      </c>
      <c r="S13" s="60">
        <v>170</v>
      </c>
      <c r="T13" s="82">
        <f t="shared" si="4"/>
        <v>3.0303030303030304E-2</v>
      </c>
      <c r="U13" s="44">
        <f>_xlfn.STDEV.P(T13:$T$109)</f>
        <v>0.10908782815912918</v>
      </c>
      <c r="W13" s="16">
        <v>34121</v>
      </c>
      <c r="X13" s="59">
        <v>177</v>
      </c>
      <c r="Y13" s="82">
        <f t="shared" si="5"/>
        <v>3.5087719298245612E-2</v>
      </c>
      <c r="Z13">
        <f>_xlfn.STDEV.P(Y13:$Y$109)</f>
        <v>0.11543440532051367</v>
      </c>
      <c r="AB13" s="16">
        <v>34121</v>
      </c>
      <c r="AC13" s="59">
        <v>155</v>
      </c>
      <c r="AD13" s="82">
        <f t="shared" si="6"/>
        <v>6.4935064935064939E-3</v>
      </c>
      <c r="AE13">
        <f>_xlfn.STDEV.P(AD13:$AD$108)</f>
        <v>3.9295629750056717E-2</v>
      </c>
    </row>
    <row r="14" spans="2:31" x14ac:dyDescent="0.2">
      <c r="B14" s="16">
        <v>34213</v>
      </c>
      <c r="C14" s="9">
        <v>201</v>
      </c>
      <c r="D14" s="82">
        <f t="shared" si="0"/>
        <v>3.0769230769230771E-2</v>
      </c>
      <c r="E14" s="43">
        <f>_xlfn.STDEV.P(D14:$D$108)</f>
        <v>7.4767343412292658E-2</v>
      </c>
      <c r="F14">
        <f t="shared" si="1"/>
        <v>3.0305349495328843E-2</v>
      </c>
      <c r="G14" s="16">
        <v>34213</v>
      </c>
      <c r="H14" s="9">
        <v>232</v>
      </c>
      <c r="I14" s="82">
        <f t="shared" si="2"/>
        <v>-1.276595744680851E-2</v>
      </c>
      <c r="J14" s="43">
        <f>_xlfn.STDEV.P(I14:$I$109)</f>
        <v>0.11004146104717442</v>
      </c>
      <c r="K14">
        <f t="shared" si="3"/>
        <v>-1.2848142477849024E-2</v>
      </c>
      <c r="M14" s="16">
        <v>34213</v>
      </c>
      <c r="N14" s="9">
        <v>153</v>
      </c>
      <c r="O14" s="82">
        <f t="shared" si="7"/>
        <v>2.6845637583892617E-2</v>
      </c>
      <c r="P14" s="44">
        <f>_xlfn.STDEV.P(O14:$O$109)</f>
        <v>0.11866535763661795</v>
      </c>
      <c r="Q14">
        <f t="shared" si="8"/>
        <v>2.6491615446976285E-2</v>
      </c>
      <c r="R14" s="16">
        <v>34213</v>
      </c>
      <c r="S14" s="60">
        <v>170</v>
      </c>
      <c r="T14" s="82">
        <f t="shared" si="4"/>
        <v>0</v>
      </c>
      <c r="U14" s="44">
        <f>_xlfn.STDEV.P(T14:$T$109)</f>
        <v>0.10962821577382081</v>
      </c>
      <c r="W14" s="16">
        <v>34213</v>
      </c>
      <c r="X14" s="59">
        <v>177</v>
      </c>
      <c r="Y14" s="82">
        <f t="shared" si="5"/>
        <v>0</v>
      </c>
      <c r="Z14">
        <f>_xlfn.STDEV.P(Y14:$Y$109)</f>
        <v>0.11600152541838517</v>
      </c>
      <c r="AB14" s="16">
        <v>34213</v>
      </c>
      <c r="AC14" s="59">
        <v>156</v>
      </c>
      <c r="AD14" s="82">
        <f t="shared" si="6"/>
        <v>6.4516129032258064E-3</v>
      </c>
      <c r="AE14">
        <f>_xlfn.STDEV.P(AD14:$AD$108)</f>
        <v>3.9487189298484028E-2</v>
      </c>
    </row>
    <row r="15" spans="2:31" x14ac:dyDescent="0.2">
      <c r="B15" s="16">
        <v>34304</v>
      </c>
      <c r="C15" s="9">
        <v>198</v>
      </c>
      <c r="D15" s="82">
        <f t="shared" si="0"/>
        <v>-1.4925373134328358E-2</v>
      </c>
      <c r="E15" s="43">
        <f>_xlfn.STDEV.P(D15:$D$108)</f>
        <v>7.5153493644059891E-2</v>
      </c>
      <c r="F15">
        <f t="shared" si="1"/>
        <v>-1.5037877364540559E-2</v>
      </c>
      <c r="G15" s="16">
        <v>34304</v>
      </c>
      <c r="H15" s="9">
        <v>238</v>
      </c>
      <c r="I15" s="82">
        <f t="shared" si="2"/>
        <v>2.5862068965517241E-2</v>
      </c>
      <c r="J15" s="43">
        <f>_xlfn.STDEV.P(I15:$I$109)</f>
        <v>0.1105906089366383</v>
      </c>
      <c r="K15">
        <f t="shared" si="3"/>
        <v>2.5533302005164845E-2</v>
      </c>
      <c r="M15" s="16">
        <v>34304</v>
      </c>
      <c r="N15" s="9">
        <v>153</v>
      </c>
      <c r="O15" s="82">
        <f t="shared" si="7"/>
        <v>0</v>
      </c>
      <c r="P15" s="44">
        <f>_xlfn.STDEV.P(O15:$O$109)</f>
        <v>0.11927218646934559</v>
      </c>
      <c r="Q15">
        <f t="shared" si="8"/>
        <v>0</v>
      </c>
      <c r="R15" s="16">
        <v>34304</v>
      </c>
      <c r="S15" s="60">
        <v>170</v>
      </c>
      <c r="T15" s="82">
        <f t="shared" si="4"/>
        <v>0</v>
      </c>
      <c r="U15" s="44">
        <f>_xlfn.STDEV.P(T15:$T$109)</f>
        <v>0.11020156274143454</v>
      </c>
      <c r="W15" s="16">
        <v>34304</v>
      </c>
      <c r="X15" s="59">
        <v>180</v>
      </c>
      <c r="Y15" s="82">
        <f t="shared" si="5"/>
        <v>1.6949152542372881E-2</v>
      </c>
      <c r="Z15">
        <f>_xlfn.STDEV.P(Y15:$Y$109)</f>
        <v>0.11660752516197478</v>
      </c>
      <c r="AB15" s="16">
        <v>34304</v>
      </c>
      <c r="AC15" s="59">
        <v>155</v>
      </c>
      <c r="AD15" s="82">
        <f t="shared" si="6"/>
        <v>-6.41025641025641E-3</v>
      </c>
      <c r="AE15">
        <f>_xlfn.STDEV.P(AD15:$AD$108)</f>
        <v>3.9681434997080926E-2</v>
      </c>
    </row>
    <row r="16" spans="2:31" x14ac:dyDescent="0.2">
      <c r="B16" s="16">
        <v>34394</v>
      </c>
      <c r="C16" s="9">
        <v>200</v>
      </c>
      <c r="D16" s="82">
        <f t="shared" si="0"/>
        <v>1.0101010101010102E-2</v>
      </c>
      <c r="E16" s="43">
        <f>_xlfn.STDEV.P(D16:$D$108)</f>
        <v>7.5475939779278953E-2</v>
      </c>
      <c r="F16">
        <f t="shared" si="1"/>
        <v>1.0050335853501506E-2</v>
      </c>
      <c r="G16" s="16">
        <v>34394</v>
      </c>
      <c r="H16" s="9">
        <v>238</v>
      </c>
      <c r="I16" s="82">
        <f t="shared" si="2"/>
        <v>0</v>
      </c>
      <c r="J16" s="43">
        <f>_xlfn.STDEV.P(I16:$I$109)</f>
        <v>0.11116778792114658</v>
      </c>
      <c r="K16">
        <f t="shared" si="3"/>
        <v>0</v>
      </c>
      <c r="M16" s="16">
        <v>34394</v>
      </c>
      <c r="N16" s="9">
        <v>153</v>
      </c>
      <c r="O16" s="82">
        <f t="shared" si="7"/>
        <v>0</v>
      </c>
      <c r="P16" s="44">
        <f>_xlfn.STDEV.P(O16:$O$109)</f>
        <v>0.11990231142192459</v>
      </c>
      <c r="Q16">
        <f t="shared" si="8"/>
        <v>0</v>
      </c>
      <c r="R16" s="16">
        <v>34394</v>
      </c>
      <c r="S16" s="60">
        <v>175</v>
      </c>
      <c r="T16" s="82">
        <f t="shared" si="4"/>
        <v>2.9411764705882353E-2</v>
      </c>
      <c r="U16" s="44">
        <f>_xlfn.STDEV.P(T16:$T$109)</f>
        <v>0.11078400034696619</v>
      </c>
      <c r="W16" s="16">
        <v>34394</v>
      </c>
      <c r="X16" s="59">
        <v>182</v>
      </c>
      <c r="Y16" s="82">
        <f t="shared" si="5"/>
        <v>1.1111111111111112E-2</v>
      </c>
      <c r="Z16">
        <f>_xlfn.STDEV.P(Y16:$Y$109)</f>
        <v>0.11722255257024079</v>
      </c>
      <c r="AB16" s="16">
        <v>34394</v>
      </c>
      <c r="AC16" s="59">
        <v>158</v>
      </c>
      <c r="AD16" s="82">
        <f t="shared" si="6"/>
        <v>1.935483870967742E-2</v>
      </c>
      <c r="AE16">
        <f>_xlfn.STDEV.P(AD16:$AD$108)</f>
        <v>3.981838975562095E-2</v>
      </c>
    </row>
    <row r="17" spans="2:31" x14ac:dyDescent="0.2">
      <c r="B17" s="16">
        <v>34486</v>
      </c>
      <c r="C17" s="9">
        <v>205</v>
      </c>
      <c r="D17" s="82">
        <f t="shared" si="0"/>
        <v>2.5000000000000001E-2</v>
      </c>
      <c r="E17" s="43">
        <f>_xlfn.STDEV.P(D17:$D$108)</f>
        <v>7.5879438898817098E-2</v>
      </c>
      <c r="F17">
        <f t="shared" si="1"/>
        <v>2.4692612590371414E-2</v>
      </c>
      <c r="G17" s="16">
        <v>34486</v>
      </c>
      <c r="H17" s="9">
        <v>250</v>
      </c>
      <c r="I17" s="82">
        <f t="shared" si="2"/>
        <v>5.0420168067226892E-2</v>
      </c>
      <c r="J17" s="43">
        <f>_xlfn.STDEV.P(I17:$I$109)</f>
        <v>0.11175722497453162</v>
      </c>
      <c r="K17">
        <f t="shared" si="3"/>
        <v>4.9190244190771781E-2</v>
      </c>
      <c r="M17" s="16">
        <v>34486</v>
      </c>
      <c r="N17" s="9">
        <v>157</v>
      </c>
      <c r="O17" s="82">
        <f t="shared" si="7"/>
        <v>2.6143790849673203E-2</v>
      </c>
      <c r="P17" s="44">
        <f>_xlfn.STDEV.P(O17:$O$109)</f>
        <v>0.12054252984422319</v>
      </c>
      <c r="Q17">
        <f t="shared" si="8"/>
        <v>2.5807883955872503E-2</v>
      </c>
      <c r="R17" s="16">
        <v>34486</v>
      </c>
      <c r="S17" s="60">
        <v>175</v>
      </c>
      <c r="T17" s="82">
        <f t="shared" si="4"/>
        <v>0</v>
      </c>
      <c r="U17" s="44">
        <f>_xlfn.STDEV.P(T17:$T$109)</f>
        <v>0.11135304934200516</v>
      </c>
      <c r="W17" s="16">
        <v>34486</v>
      </c>
      <c r="X17" s="59">
        <v>184</v>
      </c>
      <c r="Y17" s="82">
        <f t="shared" si="5"/>
        <v>1.098901098901099E-2</v>
      </c>
      <c r="Z17">
        <f>_xlfn.STDEV.P(Y17:$Y$109)</f>
        <v>0.11785065395004975</v>
      </c>
      <c r="AB17" s="16">
        <v>34486</v>
      </c>
      <c r="AC17" s="59">
        <v>159</v>
      </c>
      <c r="AD17" s="82">
        <f t="shared" si="6"/>
        <v>6.3291139240506328E-3</v>
      </c>
      <c r="AE17">
        <f>_xlfn.STDEV.P(AD17:$AD$108)</f>
        <v>4.0033697723984095E-2</v>
      </c>
    </row>
    <row r="18" spans="2:31" x14ac:dyDescent="0.2">
      <c r="B18" s="16">
        <v>34578</v>
      </c>
      <c r="C18" s="9">
        <v>220</v>
      </c>
      <c r="D18" s="82">
        <f t="shared" si="0"/>
        <v>7.3170731707317069E-2</v>
      </c>
      <c r="E18" s="43">
        <f>_xlfn.STDEV.P(D18:$D$108)</f>
        <v>7.6292582458479849E-2</v>
      </c>
      <c r="F18">
        <f t="shared" si="1"/>
        <v>7.0617567213953417E-2</v>
      </c>
      <c r="G18" s="16">
        <v>34578</v>
      </c>
      <c r="H18" s="9">
        <v>268</v>
      </c>
      <c r="I18" s="82">
        <f t="shared" si="2"/>
        <v>7.1999999999999995E-2</v>
      </c>
      <c r="J18" s="43">
        <f>_xlfn.STDEV.P(I18:$I$109)</f>
        <v>0.11229005747513349</v>
      </c>
      <c r="K18">
        <f t="shared" si="3"/>
        <v>6.9526062648610304E-2</v>
      </c>
      <c r="M18" s="16">
        <v>34578</v>
      </c>
      <c r="N18" s="9">
        <v>164</v>
      </c>
      <c r="O18" s="82">
        <f t="shared" si="7"/>
        <v>4.4585987261146494E-2</v>
      </c>
      <c r="P18" s="44">
        <f>_xlfn.STDEV.P(O18:$O$109)</f>
        <v>0.12118064992116921</v>
      </c>
      <c r="Q18">
        <f t="shared" si="8"/>
        <v>4.3620622475890353E-2</v>
      </c>
      <c r="R18" s="16">
        <v>34578</v>
      </c>
      <c r="S18" s="60">
        <v>185</v>
      </c>
      <c r="T18" s="82">
        <f t="shared" si="4"/>
        <v>5.7142857142857141E-2</v>
      </c>
      <c r="U18" s="44">
        <f>_xlfn.STDEV.P(T18:$T$109)</f>
        <v>0.11195449024328155</v>
      </c>
      <c r="W18" s="16">
        <v>34578</v>
      </c>
      <c r="X18" s="59">
        <v>193</v>
      </c>
      <c r="Y18" s="82">
        <f t="shared" si="5"/>
        <v>4.8913043478260872E-2</v>
      </c>
      <c r="Z18">
        <f>_xlfn.STDEV.P(Y18:$Y$109)</f>
        <v>0.11848899596557504</v>
      </c>
      <c r="AB18" s="16">
        <v>34578</v>
      </c>
      <c r="AC18" s="59">
        <v>170</v>
      </c>
      <c r="AD18" s="82">
        <f t="shared" si="6"/>
        <v>6.9182389937106917E-2</v>
      </c>
      <c r="AE18">
        <f>_xlfn.STDEV.P(AD18:$AD$108)</f>
        <v>4.0236134553727348E-2</v>
      </c>
    </row>
    <row r="19" spans="2:31" x14ac:dyDescent="0.2">
      <c r="B19" s="16">
        <v>34669</v>
      </c>
      <c r="C19" s="9">
        <v>214</v>
      </c>
      <c r="D19" s="82">
        <f t="shared" si="0"/>
        <v>-2.7272727272727271E-2</v>
      </c>
      <c r="E19" s="43">
        <f>_xlfn.STDEV.P(D19:$D$108)</f>
        <v>7.6499414669205637E-2</v>
      </c>
      <c r="F19">
        <f t="shared" si="1"/>
        <v>-2.7651531330510008E-2</v>
      </c>
      <c r="G19" s="16">
        <v>34669</v>
      </c>
      <c r="H19" s="9">
        <v>268</v>
      </c>
      <c r="I19" s="82">
        <f t="shared" si="2"/>
        <v>0</v>
      </c>
      <c r="J19" s="43">
        <f>_xlfn.STDEV.P(I19:$I$109)</f>
        <v>0.11272448485404837</v>
      </c>
      <c r="K19">
        <f t="shared" si="3"/>
        <v>0</v>
      </c>
      <c r="M19" s="16">
        <v>34669</v>
      </c>
      <c r="N19" s="9">
        <v>159</v>
      </c>
      <c r="O19" s="82">
        <f t="shared" si="7"/>
        <v>-3.048780487804878E-2</v>
      </c>
      <c r="P19" s="44">
        <f>_xlfn.STDEV.P(O19:$O$109)</f>
        <v>0.12178232568434069</v>
      </c>
      <c r="Q19">
        <f t="shared" si="8"/>
        <v>-3.0962225603966925E-2</v>
      </c>
      <c r="R19" s="16">
        <v>34669</v>
      </c>
      <c r="S19" s="60">
        <v>187</v>
      </c>
      <c r="T19" s="82">
        <f t="shared" si="4"/>
        <v>1.0810810810810811E-2</v>
      </c>
      <c r="U19" s="44">
        <f>_xlfn.STDEV.P(T19:$T$109)</f>
        <v>0.11244190108150211</v>
      </c>
      <c r="W19" s="16">
        <v>34669</v>
      </c>
      <c r="X19" s="59">
        <v>200</v>
      </c>
      <c r="Y19" s="82">
        <f t="shared" si="5"/>
        <v>3.6269430051813469E-2</v>
      </c>
      <c r="Z19">
        <f>_xlfn.STDEV.P(Y19:$Y$109)</f>
        <v>0.11905998614506055</v>
      </c>
      <c r="AB19" s="16">
        <v>34669</v>
      </c>
      <c r="AC19" s="59">
        <v>173</v>
      </c>
      <c r="AD19" s="82">
        <f t="shared" si="6"/>
        <v>1.7647058823529412E-2</v>
      </c>
      <c r="AE19">
        <f>_xlfn.STDEV.P(AD19:$AD$108)</f>
        <v>4.0086850297457059E-2</v>
      </c>
    </row>
    <row r="20" spans="2:31" x14ac:dyDescent="0.2">
      <c r="B20" s="16">
        <v>34759</v>
      </c>
      <c r="C20" s="9">
        <v>232</v>
      </c>
      <c r="D20" s="82">
        <f t="shared" si="0"/>
        <v>8.4112149532710276E-2</v>
      </c>
      <c r="E20" s="43">
        <f>_xlfn.STDEV.P(D20:$D$108)</f>
        <v>7.6774372103615707E-2</v>
      </c>
      <c r="F20">
        <f t="shared" si="1"/>
        <v>8.0761356644458382E-2</v>
      </c>
      <c r="G20" s="16">
        <v>34759</v>
      </c>
      <c r="H20" s="9">
        <v>263</v>
      </c>
      <c r="I20" s="82">
        <f t="shared" si="2"/>
        <v>-1.8656716417910446E-2</v>
      </c>
      <c r="J20" s="43">
        <f>_xlfn.STDEV.P(I20:$I$109)</f>
        <v>0.11334329945488283</v>
      </c>
      <c r="K20">
        <f t="shared" si="3"/>
        <v>-1.8832948333092125E-2</v>
      </c>
      <c r="M20" s="16">
        <v>34759</v>
      </c>
      <c r="N20" s="9">
        <v>163</v>
      </c>
      <c r="O20" s="82">
        <f t="shared" si="7"/>
        <v>2.5157232704402517E-2</v>
      </c>
      <c r="P20" s="44">
        <f>_xlfn.STDEV.P(O20:$O$109)</f>
        <v>0.1223918253343604</v>
      </c>
      <c r="Q20">
        <f t="shared" si="8"/>
        <v>2.4845998586530804E-2</v>
      </c>
      <c r="R20" s="16">
        <v>34759</v>
      </c>
      <c r="S20" s="60">
        <v>184</v>
      </c>
      <c r="T20" s="82">
        <f t="shared" si="4"/>
        <v>-1.6042780748663103E-2</v>
      </c>
      <c r="U20" s="44">
        <f>_xlfn.STDEV.P(T20:$T$109)</f>
        <v>0.1130637325032712</v>
      </c>
      <c r="W20" s="16">
        <v>34759</v>
      </c>
      <c r="X20" s="59">
        <v>192</v>
      </c>
      <c r="Y20" s="82">
        <f t="shared" si="5"/>
        <v>-0.04</v>
      </c>
      <c r="Z20">
        <f>_xlfn.STDEV.P(Y20:$Y$109)</f>
        <v>0.11968075626028875</v>
      </c>
      <c r="AB20" s="16">
        <v>34759</v>
      </c>
      <c r="AC20" s="59">
        <v>172</v>
      </c>
      <c r="AD20" s="82">
        <f t="shared" si="6"/>
        <v>-5.7803468208092483E-3</v>
      </c>
      <c r="AE20">
        <f>_xlfn.STDEV.P(AD20:$AD$108)</f>
        <v>4.0311359977925426E-2</v>
      </c>
    </row>
    <row r="21" spans="2:31" x14ac:dyDescent="0.2">
      <c r="B21" s="16">
        <v>34851</v>
      </c>
      <c r="C21" s="9">
        <v>226</v>
      </c>
      <c r="D21" s="82">
        <f t="shared" si="0"/>
        <v>-2.5862068965517241E-2</v>
      </c>
      <c r="E21" s="43">
        <f>_xlfn.STDEV.P(D21:$D$108)</f>
        <v>7.6891466562129293E-2</v>
      </c>
      <c r="F21">
        <f t="shared" si="1"/>
        <v>-2.6202372394024072E-2</v>
      </c>
      <c r="G21" s="16">
        <v>34851</v>
      </c>
      <c r="H21" s="9">
        <v>270</v>
      </c>
      <c r="I21" s="82">
        <f t="shared" si="2"/>
        <v>2.6615969581749048E-2</v>
      </c>
      <c r="J21" s="43">
        <f>_xlfn.STDEV.P(I21:$I$109)</f>
        <v>0.11393488782649849</v>
      </c>
      <c r="K21">
        <f t="shared" si="3"/>
        <v>2.6267926820610105E-2</v>
      </c>
      <c r="M21" s="16">
        <v>34851</v>
      </c>
      <c r="N21" s="9">
        <v>160</v>
      </c>
      <c r="O21" s="82">
        <f t="shared" si="7"/>
        <v>-1.8404907975460124E-2</v>
      </c>
      <c r="P21" s="44">
        <f>_xlfn.STDEV.P(O21:$O$109)</f>
        <v>0.123063313274642</v>
      </c>
      <c r="Q21">
        <f t="shared" si="8"/>
        <v>-1.8576385572935419E-2</v>
      </c>
      <c r="R21" s="16">
        <v>34851</v>
      </c>
      <c r="S21" s="60">
        <v>187</v>
      </c>
      <c r="T21" s="82">
        <f t="shared" si="4"/>
        <v>1.6304347826086956E-2</v>
      </c>
      <c r="U21" s="44">
        <f>_xlfn.STDEV.P(T21:$T$109)</f>
        <v>0.1136728455472133</v>
      </c>
      <c r="W21" s="16">
        <v>34851</v>
      </c>
      <c r="X21" s="59">
        <v>198</v>
      </c>
      <c r="Y21" s="82">
        <f t="shared" si="5"/>
        <v>3.125E-2</v>
      </c>
      <c r="Z21">
        <f>_xlfn.STDEV.P(Y21:$Y$109)</f>
        <v>0.12024612943655326</v>
      </c>
      <c r="AB21" s="16">
        <v>34851</v>
      </c>
      <c r="AC21" s="59">
        <v>173</v>
      </c>
      <c r="AD21" s="82">
        <f t="shared" si="6"/>
        <v>5.8139534883720929E-3</v>
      </c>
      <c r="AE21">
        <f>_xlfn.STDEV.P(AD21:$AD$108)</f>
        <v>4.0466495970115805E-2</v>
      </c>
    </row>
    <row r="22" spans="2:31" x14ac:dyDescent="0.2">
      <c r="B22" s="16">
        <v>34943</v>
      </c>
      <c r="C22" s="9">
        <v>232</v>
      </c>
      <c r="D22" s="82">
        <f t="shared" si="0"/>
        <v>2.6548672566371681E-2</v>
      </c>
      <c r="E22" s="43">
        <f>_xlfn.STDEV.P(D22:$D$108)</f>
        <v>7.7186804297491501E-2</v>
      </c>
      <c r="F22">
        <f t="shared" si="1"/>
        <v>2.6202372394024117E-2</v>
      </c>
      <c r="G22" s="16">
        <v>34943</v>
      </c>
      <c r="H22" s="9">
        <v>265</v>
      </c>
      <c r="I22" s="82">
        <f t="shared" si="2"/>
        <v>-1.8518518518518517E-2</v>
      </c>
      <c r="J22" s="43">
        <f>_xlfn.STDEV.P(I22:$I$109)</f>
        <v>0.11456846253481509</v>
      </c>
      <c r="K22">
        <f t="shared" si="3"/>
        <v>-1.8692133012152522E-2</v>
      </c>
      <c r="M22" s="16">
        <v>34943</v>
      </c>
      <c r="N22" s="9">
        <v>164</v>
      </c>
      <c r="O22" s="82">
        <f t="shared" si="7"/>
        <v>2.5000000000000001E-2</v>
      </c>
      <c r="P22" s="44">
        <f>_xlfn.STDEV.P(O22:$O$109)</f>
        <v>0.123729567286001</v>
      </c>
      <c r="Q22">
        <f t="shared" si="8"/>
        <v>2.4692612590371414E-2</v>
      </c>
      <c r="R22" s="16">
        <v>34943</v>
      </c>
      <c r="S22" s="60">
        <v>186</v>
      </c>
      <c r="T22" s="82">
        <f t="shared" si="4"/>
        <v>-5.3475935828877002E-3</v>
      </c>
      <c r="U22" s="44">
        <f>_xlfn.STDEV.P(T22:$T$109)</f>
        <v>0.11431181545520258</v>
      </c>
      <c r="W22" s="16">
        <v>34943</v>
      </c>
      <c r="X22" s="59">
        <v>197</v>
      </c>
      <c r="Y22" s="82">
        <f t="shared" si="5"/>
        <v>-5.0505050505050509E-3</v>
      </c>
      <c r="Z22">
        <f>_xlfn.STDEV.P(Y22:$Y$109)</f>
        <v>0.12090107744879801</v>
      </c>
      <c r="AB22" s="16">
        <v>34943</v>
      </c>
      <c r="AC22" s="59">
        <v>173</v>
      </c>
      <c r="AD22" s="82">
        <f t="shared" si="6"/>
        <v>0</v>
      </c>
      <c r="AE22">
        <f>_xlfn.STDEV.P(AD22:$AD$108)</f>
        <v>4.067987107031E-2</v>
      </c>
    </row>
    <row r="23" spans="2:31" x14ac:dyDescent="0.2">
      <c r="B23" s="16">
        <v>35034</v>
      </c>
      <c r="C23" s="9">
        <v>221</v>
      </c>
      <c r="D23" s="82">
        <f t="shared" si="0"/>
        <v>-4.7413793103448273E-2</v>
      </c>
      <c r="E23" s="43">
        <f>_xlfn.STDEV.P(D23:$D$108)</f>
        <v>7.7629466493568264E-2</v>
      </c>
      <c r="F23">
        <f t="shared" si="1"/>
        <v>-4.8574670148557153E-2</v>
      </c>
      <c r="G23" s="16">
        <v>35034</v>
      </c>
      <c r="H23" s="9">
        <v>254</v>
      </c>
      <c r="I23" s="82">
        <f t="shared" si="2"/>
        <v>-4.1509433962264149E-2</v>
      </c>
      <c r="J23" s="43">
        <f>_xlfn.STDEV.P(I23:$I$109)</f>
        <v>0.11518104598086634</v>
      </c>
      <c r="K23">
        <f t="shared" si="3"/>
        <v>-4.2395558967685619E-2</v>
      </c>
      <c r="M23" s="16">
        <v>35034</v>
      </c>
      <c r="N23" s="9">
        <v>156</v>
      </c>
      <c r="O23" s="82">
        <f t="shared" si="7"/>
        <v>-4.878048780487805E-2</v>
      </c>
      <c r="P23" s="44">
        <f>_xlfn.STDEV.P(O23:$O$109)</f>
        <v>0.12442468088740147</v>
      </c>
      <c r="Q23">
        <f t="shared" si="8"/>
        <v>-5.0010420574661422E-2</v>
      </c>
      <c r="R23" s="16">
        <v>35034</v>
      </c>
      <c r="S23" s="60">
        <v>190</v>
      </c>
      <c r="T23" s="82">
        <f t="shared" si="4"/>
        <v>2.1505376344086023E-2</v>
      </c>
      <c r="U23" s="44">
        <f>_xlfn.STDEV.P(T23:$T$109)</f>
        <v>0.11496022611756032</v>
      </c>
      <c r="W23" s="16">
        <v>35034</v>
      </c>
      <c r="X23" s="59">
        <v>200</v>
      </c>
      <c r="Y23" s="82">
        <f t="shared" si="5"/>
        <v>1.5228426395939087E-2</v>
      </c>
      <c r="Z23">
        <f>_xlfn.STDEV.P(Y23:$Y$109)</f>
        <v>0.12158646613445825</v>
      </c>
      <c r="AB23" s="16">
        <v>35034</v>
      </c>
      <c r="AC23" s="59">
        <v>177</v>
      </c>
      <c r="AD23" s="82">
        <f t="shared" si="6"/>
        <v>2.3121387283236993E-2</v>
      </c>
      <c r="AE23">
        <f>_xlfn.STDEV.P(AD23:$AD$108)</f>
        <v>4.0872492115649514E-2</v>
      </c>
    </row>
    <row r="24" spans="2:31" x14ac:dyDescent="0.2">
      <c r="B24" s="16">
        <v>35125</v>
      </c>
      <c r="C24" s="9">
        <v>228</v>
      </c>
      <c r="D24" s="82">
        <f t="shared" si="0"/>
        <v>3.1674208144796379E-2</v>
      </c>
      <c r="E24" s="43">
        <f>_xlfn.STDEV.P(D24:$D$108)</f>
        <v>7.7752972684011948E-2</v>
      </c>
      <c r="F24">
        <f t="shared" si="1"/>
        <v>3.1182927436687845E-2</v>
      </c>
      <c r="G24" s="16">
        <v>35125</v>
      </c>
      <c r="H24" s="9">
        <v>258</v>
      </c>
      <c r="I24" s="82">
        <f t="shared" si="2"/>
        <v>1.5748031496062992E-2</v>
      </c>
      <c r="J24" s="43">
        <f>_xlfn.STDEV.P(I24:$I$109)</f>
        <v>0.11570687115814084</v>
      </c>
      <c r="K24">
        <f t="shared" si="3"/>
        <v>1.5625317903080815E-2</v>
      </c>
      <c r="M24" s="16">
        <v>35125</v>
      </c>
      <c r="N24" s="9">
        <v>162</v>
      </c>
      <c r="O24" s="82">
        <f t="shared" si="7"/>
        <v>3.8461538461538464E-2</v>
      </c>
      <c r="P24" s="44">
        <f>_xlfn.STDEV.P(O24:$O$109)</f>
        <v>0.12499690402975493</v>
      </c>
      <c r="Q24">
        <f t="shared" si="8"/>
        <v>3.7740327982847113E-2</v>
      </c>
      <c r="R24" s="16">
        <v>35125</v>
      </c>
      <c r="S24" s="60">
        <v>190</v>
      </c>
      <c r="T24" s="82">
        <f t="shared" si="4"/>
        <v>0</v>
      </c>
      <c r="U24" s="44">
        <f>_xlfn.STDEV.P(T24:$T$109)</f>
        <v>0.11561486855383321</v>
      </c>
      <c r="W24" s="16">
        <v>35125</v>
      </c>
      <c r="X24" s="59">
        <v>200</v>
      </c>
      <c r="Y24" s="82">
        <f t="shared" si="5"/>
        <v>0</v>
      </c>
      <c r="Z24">
        <f>_xlfn.STDEV.P(Y24:$Y$109)</f>
        <v>0.12228851082493045</v>
      </c>
      <c r="AB24" s="16">
        <v>35125</v>
      </c>
      <c r="AC24" s="59">
        <v>179</v>
      </c>
      <c r="AD24" s="82">
        <f t="shared" si="6"/>
        <v>1.1299435028248588E-2</v>
      </c>
      <c r="AE24">
        <f>_xlfn.STDEV.P(AD24:$AD$108)</f>
        <v>4.1107695745027817E-2</v>
      </c>
    </row>
    <row r="25" spans="2:31" x14ac:dyDescent="0.2">
      <c r="B25" s="16">
        <v>35217</v>
      </c>
      <c r="C25" s="9">
        <v>223</v>
      </c>
      <c r="D25" s="82">
        <f t="shared" si="0"/>
        <v>-2.1929824561403508E-2</v>
      </c>
      <c r="E25" s="43">
        <f>_xlfn.STDEV.P(D25:$D$108)</f>
        <v>7.8202570307347494E-2</v>
      </c>
      <c r="F25">
        <f t="shared" si="1"/>
        <v>-2.2173857494321967E-2</v>
      </c>
      <c r="G25" s="16">
        <v>35217</v>
      </c>
      <c r="H25" s="9">
        <v>257</v>
      </c>
      <c r="I25" s="82">
        <f t="shared" si="2"/>
        <v>-3.875968992248062E-3</v>
      </c>
      <c r="J25" s="43">
        <f>_xlfn.STDEV.P(I25:$I$109)</f>
        <v>0.11638477434343979</v>
      </c>
      <c r="K25">
        <f t="shared" si="3"/>
        <v>-3.883500026397633E-3</v>
      </c>
      <c r="M25" s="16">
        <v>35217</v>
      </c>
      <c r="N25" s="9">
        <v>160</v>
      </c>
      <c r="O25" s="82">
        <f t="shared" si="7"/>
        <v>-1.2345679012345678E-2</v>
      </c>
      <c r="P25" s="44">
        <f>_xlfn.STDEV.P(O25:$O$109)</f>
        <v>0.12568661580804782</v>
      </c>
      <c r="Q25">
        <f t="shared" si="8"/>
        <v>-1.2422519998557209E-2</v>
      </c>
      <c r="R25" s="16">
        <v>35217</v>
      </c>
      <c r="S25" s="60">
        <v>198</v>
      </c>
      <c r="T25" s="82">
        <f t="shared" si="4"/>
        <v>4.2105263157894736E-2</v>
      </c>
      <c r="U25" s="44">
        <f>_xlfn.STDEV.P(T25:$T$109)</f>
        <v>0.11629106416369497</v>
      </c>
      <c r="W25" s="16">
        <v>35217</v>
      </c>
      <c r="X25" s="59">
        <v>210</v>
      </c>
      <c r="Y25" s="82">
        <f t="shared" si="5"/>
        <v>0.05</v>
      </c>
      <c r="Z25">
        <f>_xlfn.STDEV.P(Y25:$Y$109)</f>
        <v>0.12300303328081796</v>
      </c>
      <c r="AB25" s="16">
        <v>35217</v>
      </c>
      <c r="AC25" s="59">
        <v>181</v>
      </c>
      <c r="AD25" s="82">
        <f t="shared" si="6"/>
        <v>1.11731843575419E-2</v>
      </c>
      <c r="AE25">
        <f>_xlfn.STDEV.P(AD25:$AD$108)</f>
        <v>4.134611732082278E-2</v>
      </c>
    </row>
    <row r="26" spans="2:31" x14ac:dyDescent="0.2">
      <c r="B26" s="16">
        <v>35309</v>
      </c>
      <c r="C26" s="9">
        <v>223</v>
      </c>
      <c r="D26" s="82">
        <f t="shared" si="0"/>
        <v>0</v>
      </c>
      <c r="E26" s="43">
        <f>_xlfn.STDEV.P(D26:$D$108)</f>
        <v>7.8541545944515248E-2</v>
      </c>
      <c r="F26">
        <f t="shared" si="1"/>
        <v>0</v>
      </c>
      <c r="G26" s="16">
        <v>35309</v>
      </c>
      <c r="H26" s="9">
        <v>265</v>
      </c>
      <c r="I26" s="82">
        <f t="shared" si="2"/>
        <v>3.1128404669260701E-2</v>
      </c>
      <c r="J26" s="43">
        <f>_xlfn.STDEV.P(I26:$I$109)</f>
        <v>0.11706266767231137</v>
      </c>
      <c r="K26">
        <f t="shared" si="3"/>
        <v>3.0653741091002305E-2</v>
      </c>
      <c r="M26" s="16">
        <v>35309</v>
      </c>
      <c r="N26" s="9">
        <v>170</v>
      </c>
      <c r="O26" s="82">
        <f t="shared" si="7"/>
        <v>6.25E-2</v>
      </c>
      <c r="P26" s="44">
        <f>_xlfn.STDEV.P(O26:$O$109)</f>
        <v>0.12641315591188745</v>
      </c>
      <c r="Q26">
        <f t="shared" si="8"/>
        <v>6.062462181643484E-2</v>
      </c>
      <c r="R26" s="16">
        <v>35309</v>
      </c>
      <c r="S26" s="60">
        <v>200</v>
      </c>
      <c r="T26" s="82">
        <f t="shared" si="4"/>
        <v>1.0101010101010102E-2</v>
      </c>
      <c r="U26" s="44">
        <f>_xlfn.STDEV.P(T26:$T$109)</f>
        <v>0.11691471632701871</v>
      </c>
      <c r="W26" s="16">
        <v>35309</v>
      </c>
      <c r="X26" s="59">
        <v>212</v>
      </c>
      <c r="Y26" s="82">
        <f t="shared" si="5"/>
        <v>9.5238095238095247E-3</v>
      </c>
      <c r="Z26">
        <f>_xlfn.STDEV.P(Y26:$Y$109)</f>
        <v>0.12364541570828638</v>
      </c>
      <c r="AB26" s="16">
        <v>35309</v>
      </c>
      <c r="AC26" s="59">
        <v>185</v>
      </c>
      <c r="AD26" s="82">
        <f t="shared" si="6"/>
        <v>2.2099447513812154E-2</v>
      </c>
      <c r="AE26">
        <f>_xlfn.STDEV.P(AD26:$AD$108)</f>
        <v>4.1588499598303151E-2</v>
      </c>
    </row>
    <row r="27" spans="2:31" x14ac:dyDescent="0.2">
      <c r="B27" s="16">
        <v>35400</v>
      </c>
      <c r="C27" s="9">
        <v>228</v>
      </c>
      <c r="D27" s="82">
        <f t="shared" si="0"/>
        <v>2.2421524663677129E-2</v>
      </c>
      <c r="E27" s="43">
        <f>_xlfn.STDEV.P(D27:$D$108)</f>
        <v>7.8988940994691031E-2</v>
      </c>
      <c r="F27">
        <f t="shared" si="1"/>
        <v>2.2173857494322075E-2</v>
      </c>
      <c r="G27" s="16">
        <v>35400</v>
      </c>
      <c r="H27" s="9">
        <v>270</v>
      </c>
      <c r="I27" s="82">
        <f t="shared" si="2"/>
        <v>1.8867924528301886E-2</v>
      </c>
      <c r="J27" s="43">
        <f>_xlfn.STDEV.P(I27:$I$109)</f>
        <v>0.11774700561701162</v>
      </c>
      <c r="K27">
        <f t="shared" si="3"/>
        <v>1.8692133012152546E-2</v>
      </c>
      <c r="M27" s="16">
        <v>35400</v>
      </c>
      <c r="N27" s="9">
        <v>170</v>
      </c>
      <c r="O27" s="82">
        <f t="shared" si="7"/>
        <v>0</v>
      </c>
      <c r="P27" s="44">
        <f>_xlfn.STDEV.P(O27:$O$109)</f>
        <v>0.12703025875874177</v>
      </c>
      <c r="Q27">
        <f t="shared" si="8"/>
        <v>0</v>
      </c>
      <c r="R27" s="16">
        <v>35400</v>
      </c>
      <c r="S27" s="60">
        <v>214</v>
      </c>
      <c r="T27" s="82">
        <f t="shared" si="4"/>
        <v>7.0000000000000007E-2</v>
      </c>
      <c r="U27" s="44">
        <f>_xlfn.STDEV.P(T27:$T$109)</f>
        <v>0.11761592833050896</v>
      </c>
      <c r="W27" s="16">
        <v>35400</v>
      </c>
      <c r="X27" s="59">
        <v>223</v>
      </c>
      <c r="Y27" s="82">
        <f t="shared" si="5"/>
        <v>5.1886792452830191E-2</v>
      </c>
      <c r="Z27">
        <f>_xlfn.STDEV.P(Y27:$Y$109)</f>
        <v>0.12438774446290171</v>
      </c>
      <c r="AB27" s="16">
        <v>35400</v>
      </c>
      <c r="AC27" s="59">
        <v>200</v>
      </c>
      <c r="AD27" s="82">
        <f t="shared" si="6"/>
        <v>8.1081081081081086E-2</v>
      </c>
      <c r="AE27">
        <f>_xlfn.STDEV.P(AD27:$AD$108)</f>
        <v>4.1838357419205552E-2</v>
      </c>
    </row>
    <row r="28" spans="2:31" x14ac:dyDescent="0.2">
      <c r="B28" s="16">
        <v>35490</v>
      </c>
      <c r="C28" s="9">
        <v>232</v>
      </c>
      <c r="D28" s="82">
        <f t="shared" si="0"/>
        <v>1.7543859649122806E-2</v>
      </c>
      <c r="E28" s="43">
        <f>_xlfn.STDEV.P(D28:$D$108)</f>
        <v>7.9474514235551685E-2</v>
      </c>
      <c r="F28">
        <f t="shared" si="1"/>
        <v>1.7391742711869239E-2</v>
      </c>
      <c r="G28" s="16">
        <v>35490</v>
      </c>
      <c r="H28" s="9">
        <v>285</v>
      </c>
      <c r="I28" s="82">
        <f t="shared" si="2"/>
        <v>5.5555555555555552E-2</v>
      </c>
      <c r="J28" s="43">
        <f>_xlfn.STDEV.P(I28:$I$109)</f>
        <v>0.11846024813165756</v>
      </c>
      <c r="K28">
        <f t="shared" si="3"/>
        <v>5.4067221270275793E-2</v>
      </c>
      <c r="M28" s="16">
        <v>35490</v>
      </c>
      <c r="N28" s="9">
        <v>175</v>
      </c>
      <c r="O28" s="82">
        <f t="shared" si="7"/>
        <v>2.9411764705882353E-2</v>
      </c>
      <c r="P28" s="44">
        <f>_xlfn.STDEV.P(O28:$O$109)</f>
        <v>0.12779983627073407</v>
      </c>
      <c r="Q28">
        <f t="shared" si="8"/>
        <v>2.8987536873252187E-2</v>
      </c>
      <c r="R28" s="16">
        <v>35490</v>
      </c>
      <c r="S28" s="60">
        <v>215</v>
      </c>
      <c r="T28" s="82">
        <f t="shared" si="4"/>
        <v>4.6728971962616819E-3</v>
      </c>
      <c r="U28" s="44">
        <f>_xlfn.STDEV.P(T28:$T$109)</f>
        <v>0.11811501231946703</v>
      </c>
      <c r="W28" s="16">
        <v>35490</v>
      </c>
      <c r="X28" s="59">
        <v>223</v>
      </c>
      <c r="Y28" s="82">
        <f t="shared" si="5"/>
        <v>0</v>
      </c>
      <c r="Z28">
        <f>_xlfn.STDEV.P(Y28:$Y$109)</f>
        <v>0.12504471818460083</v>
      </c>
      <c r="AB28" s="16">
        <v>35490</v>
      </c>
      <c r="AC28" s="59">
        <v>202</v>
      </c>
      <c r="AD28" s="82">
        <f t="shared" si="6"/>
        <v>0.01</v>
      </c>
      <c r="AE28">
        <f>_xlfn.STDEV.P(AD28:$AD$108)</f>
        <v>4.149259627095838E-2</v>
      </c>
    </row>
    <row r="29" spans="2:31" x14ac:dyDescent="0.2">
      <c r="B29" s="16">
        <v>35582</v>
      </c>
      <c r="C29" s="9">
        <v>243</v>
      </c>
      <c r="D29" s="82">
        <f t="shared" si="0"/>
        <v>4.7413793103448273E-2</v>
      </c>
      <c r="E29" s="43">
        <f>_xlfn.STDEV.P(D29:$D$108)</f>
        <v>7.996927545538686E-2</v>
      </c>
      <c r="F29">
        <f t="shared" si="1"/>
        <v>4.632407167423841E-2</v>
      </c>
      <c r="G29" s="16">
        <v>35582</v>
      </c>
      <c r="H29" s="9">
        <v>300</v>
      </c>
      <c r="I29" s="82">
        <f t="shared" si="2"/>
        <v>5.2631578947368418E-2</v>
      </c>
      <c r="J29" s="43">
        <f>_xlfn.STDEV.P(I29:$I$109)</f>
        <v>0.11908874977777444</v>
      </c>
      <c r="K29">
        <f t="shared" si="3"/>
        <v>5.1293294387550481E-2</v>
      </c>
      <c r="M29" s="16">
        <v>35582</v>
      </c>
      <c r="N29" s="9">
        <v>196</v>
      </c>
      <c r="O29" s="82">
        <f t="shared" si="7"/>
        <v>0.12</v>
      </c>
      <c r="P29" s="44">
        <f>_xlfn.STDEV.P(O29:$O$109)</f>
        <v>0.12856296469083722</v>
      </c>
      <c r="Q29">
        <f t="shared" si="8"/>
        <v>0.11332868530700327</v>
      </c>
      <c r="R29" s="16">
        <v>35582</v>
      </c>
      <c r="S29" s="60">
        <v>221</v>
      </c>
      <c r="T29" s="82">
        <f t="shared" si="4"/>
        <v>2.7906976744186046E-2</v>
      </c>
      <c r="U29" s="44">
        <f>_xlfn.STDEV.P(T29:$T$109)</f>
        <v>0.11884187794977567</v>
      </c>
      <c r="W29" s="16">
        <v>35582</v>
      </c>
      <c r="X29" s="59">
        <v>230</v>
      </c>
      <c r="Y29" s="82">
        <f t="shared" si="5"/>
        <v>3.1390134529147982E-2</v>
      </c>
      <c r="Z29">
        <f>_xlfn.STDEV.P(Y29:$Y$109)</f>
        <v>0.1258121313084454</v>
      </c>
      <c r="AB29" s="16">
        <v>35582</v>
      </c>
      <c r="AC29" s="59">
        <v>210</v>
      </c>
      <c r="AD29" s="82">
        <f t="shared" si="6"/>
        <v>3.9603960396039604E-2</v>
      </c>
      <c r="AE29">
        <f>_xlfn.STDEV.P(AD29:$AD$108)</f>
        <v>4.1744152722696687E-2</v>
      </c>
    </row>
    <row r="30" spans="2:31" x14ac:dyDescent="0.2">
      <c r="B30" s="16">
        <v>35674</v>
      </c>
      <c r="C30" s="9">
        <v>265</v>
      </c>
      <c r="D30" s="82">
        <f t="shared" si="0"/>
        <v>9.0534979423868317E-2</v>
      </c>
      <c r="E30" s="43">
        <f>_xlfn.STDEV.P(D30:$D$108)</f>
        <v>8.0413302271505963E-2</v>
      </c>
      <c r="F30">
        <f t="shared" si="1"/>
        <v>8.666838264567378E-2</v>
      </c>
      <c r="G30" s="16">
        <v>35674</v>
      </c>
      <c r="H30" s="9">
        <v>320</v>
      </c>
      <c r="I30" s="82">
        <f t="shared" si="2"/>
        <v>6.6666666666666666E-2</v>
      </c>
      <c r="J30" s="43">
        <f>_xlfn.STDEV.P(I30:$I$109)</f>
        <v>0.11974025245167728</v>
      </c>
      <c r="K30">
        <f t="shared" si="3"/>
        <v>6.4538521137571164E-2</v>
      </c>
      <c r="M30" s="16">
        <v>35674</v>
      </c>
      <c r="N30" s="9">
        <v>207</v>
      </c>
      <c r="O30" s="82">
        <f t="shared" si="7"/>
        <v>5.6122448979591837E-2</v>
      </c>
      <c r="P30" s="44">
        <f>_xlfn.STDEV.P(O30:$O$109)</f>
        <v>0.12874037306763048</v>
      </c>
      <c r="Q30">
        <f t="shared" si="8"/>
        <v>5.4604134034851745E-2</v>
      </c>
      <c r="R30" s="16">
        <v>35674</v>
      </c>
      <c r="S30" s="60">
        <v>228</v>
      </c>
      <c r="T30" s="82">
        <f t="shared" si="4"/>
        <v>3.1674208144796379E-2</v>
      </c>
      <c r="U30" s="44">
        <f>_xlfn.STDEV.P(T30:$T$109)</f>
        <v>0.11955433910769048</v>
      </c>
      <c r="W30" s="16">
        <v>35674</v>
      </c>
      <c r="X30" s="59">
        <v>235</v>
      </c>
      <c r="Y30" s="82">
        <f t="shared" si="5"/>
        <v>2.1739130434782608E-2</v>
      </c>
      <c r="Z30">
        <f>_xlfn.STDEV.P(Y30:$Y$109)</f>
        <v>0.12656524909123293</v>
      </c>
      <c r="AB30" s="16">
        <v>35674</v>
      </c>
      <c r="AC30" s="59">
        <v>220</v>
      </c>
      <c r="AD30" s="82">
        <f t="shared" si="6"/>
        <v>4.7619047619047616E-2</v>
      </c>
      <c r="AE30">
        <f>_xlfn.STDEV.P(AD30:$AD$108)</f>
        <v>4.1928556334622287E-2</v>
      </c>
    </row>
    <row r="31" spans="2:31" x14ac:dyDescent="0.2">
      <c r="B31" s="16">
        <v>35765</v>
      </c>
      <c r="C31" s="9">
        <v>274</v>
      </c>
      <c r="D31" s="82">
        <f t="shared" si="0"/>
        <v>3.3962264150943396E-2</v>
      </c>
      <c r="E31" s="43">
        <f>_xlfn.STDEV.P(D31:$D$108)</f>
        <v>8.052135333587418E-2</v>
      </c>
      <c r="F31">
        <f t="shared" si="1"/>
        <v>3.3398280401848009E-2</v>
      </c>
      <c r="G31" s="16">
        <v>35765</v>
      </c>
      <c r="H31" s="9">
        <v>327</v>
      </c>
      <c r="I31" s="82">
        <f t="shared" si="2"/>
        <v>2.1874999999999999E-2</v>
      </c>
      <c r="J31" s="43">
        <f>_xlfn.STDEV.P(I31:$I$109)</f>
        <v>0.12032915783960618</v>
      </c>
      <c r="K31">
        <f t="shared" si="3"/>
        <v>2.1639175103481248E-2</v>
      </c>
      <c r="M31" s="16">
        <v>35765</v>
      </c>
      <c r="N31" s="9">
        <v>214</v>
      </c>
      <c r="O31" s="82">
        <f t="shared" si="7"/>
        <v>3.3816425120772944E-2</v>
      </c>
      <c r="P31" s="44">
        <f>_xlfn.STDEV.P(O31:$O$109)</f>
        <v>0.12942737094815795</v>
      </c>
      <c r="Q31">
        <f t="shared" si="8"/>
        <v>3.3257221756482339E-2</v>
      </c>
      <c r="R31" s="16">
        <v>35765</v>
      </c>
      <c r="S31" s="60">
        <v>236</v>
      </c>
      <c r="T31" s="82">
        <f t="shared" si="4"/>
        <v>3.5087719298245612E-2</v>
      </c>
      <c r="U31" s="44">
        <f>_xlfn.STDEV.P(T31:$T$109)</f>
        <v>0.12026963654845085</v>
      </c>
      <c r="W31" s="16">
        <v>35765</v>
      </c>
      <c r="X31" s="59">
        <v>245</v>
      </c>
      <c r="Y31" s="82">
        <f t="shared" si="5"/>
        <v>4.2553191489361701E-2</v>
      </c>
      <c r="Z31">
        <f>_xlfn.STDEV.P(Y31:$Y$109)</f>
        <v>0.12735173763167384</v>
      </c>
      <c r="AB31" s="16">
        <v>35765</v>
      </c>
      <c r="AC31" s="59">
        <v>227</v>
      </c>
      <c r="AD31" s="82">
        <f t="shared" si="6"/>
        <v>3.1818181818181815E-2</v>
      </c>
      <c r="AE31">
        <f>_xlfn.STDEV.P(AD31:$AD$108)</f>
        <v>4.2047943196843851E-2</v>
      </c>
    </row>
    <row r="32" spans="2:31" x14ac:dyDescent="0.2">
      <c r="B32" s="16">
        <v>35855</v>
      </c>
      <c r="C32" s="9">
        <v>276</v>
      </c>
      <c r="D32" s="82">
        <f t="shared" si="0"/>
        <v>7.2992700729927005E-3</v>
      </c>
      <c r="E32" s="43">
        <f>_xlfn.STDEV.P(D32:$D$108)</f>
        <v>8.1023361248242692E-2</v>
      </c>
      <c r="F32">
        <f t="shared" si="1"/>
        <v>7.2727593290798781E-3</v>
      </c>
      <c r="G32" s="16">
        <v>35855</v>
      </c>
      <c r="H32" s="9">
        <v>338</v>
      </c>
      <c r="I32" s="82">
        <f t="shared" si="2"/>
        <v>3.3639143730886847E-2</v>
      </c>
      <c r="J32" s="43">
        <f>_xlfn.STDEV.P(I32:$I$109)</f>
        <v>0.12109050565352712</v>
      </c>
      <c r="K32">
        <f t="shared" si="3"/>
        <v>3.3085724585765482E-2</v>
      </c>
      <c r="M32" s="16">
        <v>35855</v>
      </c>
      <c r="N32" s="9">
        <v>193</v>
      </c>
      <c r="O32" s="82">
        <f t="shared" si="7"/>
        <v>-9.8130841121495324E-2</v>
      </c>
      <c r="P32" s="44">
        <f>_xlfn.STDEV.P(O32:$O$109)</f>
        <v>0.13021351332099237</v>
      </c>
      <c r="Q32">
        <f t="shared" si="8"/>
        <v>-0.10328582611696588</v>
      </c>
      <c r="R32" s="16">
        <v>35855</v>
      </c>
      <c r="S32" s="60">
        <v>233</v>
      </c>
      <c r="T32" s="82">
        <f t="shared" si="4"/>
        <v>-1.2711864406779662E-2</v>
      </c>
      <c r="U32" s="44">
        <f>_xlfn.STDEV.P(T32:$T$109)</f>
        <v>0.12098721433159604</v>
      </c>
      <c r="W32" s="16">
        <v>35855</v>
      </c>
      <c r="X32" s="59">
        <v>240</v>
      </c>
      <c r="Y32" s="82">
        <f t="shared" si="5"/>
        <v>-2.0408163265306121E-2</v>
      </c>
      <c r="Z32">
        <f>_xlfn.STDEV.P(Y32:$Y$109)</f>
        <v>0.1280980773486852</v>
      </c>
      <c r="AB32" s="16">
        <v>35855</v>
      </c>
      <c r="AC32" s="59">
        <v>225</v>
      </c>
      <c r="AD32" s="82">
        <f t="shared" si="6"/>
        <v>-8.8105726872246704E-3</v>
      </c>
      <c r="AE32">
        <f>_xlfn.STDEV.P(AD32:$AD$108)</f>
        <v>4.2282065286634453E-2</v>
      </c>
    </row>
    <row r="33" spans="2:31" x14ac:dyDescent="0.2">
      <c r="B33" s="16">
        <v>35947</v>
      </c>
      <c r="C33" s="9">
        <v>278</v>
      </c>
      <c r="D33" s="82">
        <f t="shared" si="0"/>
        <v>7.246376811594203E-3</v>
      </c>
      <c r="E33" s="43">
        <f>_xlfn.STDEV.P(D33:$D$108)</f>
        <v>8.1544605224132011E-2</v>
      </c>
      <c r="F33">
        <f t="shared" si="1"/>
        <v>7.2202479734870973E-3</v>
      </c>
      <c r="G33" s="16">
        <v>35947</v>
      </c>
      <c r="H33" s="9">
        <v>341</v>
      </c>
      <c r="I33" s="82">
        <f t="shared" si="2"/>
        <v>8.8757396449704144E-3</v>
      </c>
      <c r="J33" s="43">
        <f>_xlfn.STDEV.P(I33:$I$109)</f>
        <v>0.12184376662417508</v>
      </c>
      <c r="K33">
        <f t="shared" si="3"/>
        <v>8.8365818004979436E-3</v>
      </c>
      <c r="M33" s="16">
        <v>35947</v>
      </c>
      <c r="N33" s="9">
        <v>216</v>
      </c>
      <c r="O33" s="82">
        <f t="shared" si="7"/>
        <v>0.11917098445595854</v>
      </c>
      <c r="P33" s="44">
        <f>_xlfn.STDEV.P(O33:$O$109)</f>
        <v>0.13052333970141825</v>
      </c>
      <c r="Q33">
        <f t="shared" si="8"/>
        <v>0.11258821877927944</v>
      </c>
      <c r="R33" s="16">
        <v>35947</v>
      </c>
      <c r="S33" s="60">
        <v>240</v>
      </c>
      <c r="T33" s="82">
        <f t="shared" si="4"/>
        <v>3.0042918454935622E-2</v>
      </c>
      <c r="U33" s="44">
        <f>_xlfn.STDEV.P(T33:$T$109)</f>
        <v>0.12175543348572723</v>
      </c>
      <c r="W33" s="16">
        <v>35947</v>
      </c>
      <c r="X33" s="59">
        <v>250</v>
      </c>
      <c r="Y33" s="82">
        <f t="shared" si="5"/>
        <v>4.1666666666666664E-2</v>
      </c>
      <c r="Z33">
        <f>_xlfn.STDEV.P(Y33:$Y$109)</f>
        <v>0.12889265971256483</v>
      </c>
      <c r="AB33" s="16">
        <v>35947</v>
      </c>
      <c r="AC33" s="59">
        <v>230</v>
      </c>
      <c r="AD33" s="82">
        <f t="shared" si="6"/>
        <v>2.2222222222222223E-2</v>
      </c>
      <c r="AE33">
        <f>_xlfn.STDEV.P(AD33:$AD$108)</f>
        <v>4.2463002628941156E-2</v>
      </c>
    </row>
    <row r="34" spans="2:31" x14ac:dyDescent="0.2">
      <c r="B34" s="16">
        <v>36039</v>
      </c>
      <c r="C34" s="9">
        <v>276</v>
      </c>
      <c r="D34" s="82">
        <f t="shared" si="0"/>
        <v>-7.1942446043165471E-3</v>
      </c>
      <c r="E34" s="43">
        <f>_xlfn.STDEV.P(D34:$D$108)</f>
        <v>8.2075936970248065E-2</v>
      </c>
      <c r="F34">
        <f t="shared" si="1"/>
        <v>-7.2202479734870201E-3</v>
      </c>
      <c r="G34" s="16">
        <v>36039</v>
      </c>
      <c r="H34" s="9">
        <v>339</v>
      </c>
      <c r="I34" s="82">
        <f t="shared" si="2"/>
        <v>-5.8651026392961877E-3</v>
      </c>
      <c r="J34" s="43">
        <f>_xlfn.STDEV.P(I34:$I$109)</f>
        <v>0.1226427253899761</v>
      </c>
      <c r="K34">
        <f t="shared" si="3"/>
        <v>-5.8823699030665245E-3</v>
      </c>
      <c r="M34" s="16">
        <v>36039</v>
      </c>
      <c r="N34" s="9">
        <v>200</v>
      </c>
      <c r="O34" s="82">
        <f t="shared" si="7"/>
        <v>-7.407407407407407E-2</v>
      </c>
      <c r="P34" s="44">
        <f>_xlfn.STDEV.P(O34:$O$109)</f>
        <v>0.13072956871505931</v>
      </c>
      <c r="Q34">
        <f t="shared" si="8"/>
        <v>-7.6961041136128325E-2</v>
      </c>
      <c r="R34" s="16">
        <v>36039</v>
      </c>
      <c r="S34" s="60">
        <v>240</v>
      </c>
      <c r="T34" s="82">
        <f t="shared" si="4"/>
        <v>0</v>
      </c>
      <c r="U34" s="44">
        <f>_xlfn.STDEV.P(T34:$T$109)</f>
        <v>0.12251722458344558</v>
      </c>
      <c r="W34" s="16">
        <v>36039</v>
      </c>
      <c r="X34" s="59">
        <v>245</v>
      </c>
      <c r="Y34" s="82">
        <f t="shared" si="5"/>
        <v>-0.02</v>
      </c>
      <c r="Z34">
        <f>_xlfn.STDEV.P(Y34:$Y$109)</f>
        <v>0.12967229892188767</v>
      </c>
      <c r="AB34" s="16">
        <v>36039</v>
      </c>
      <c r="AC34" s="59">
        <v>232</v>
      </c>
      <c r="AD34" s="82">
        <f t="shared" si="6"/>
        <v>8.6956521739130436E-3</v>
      </c>
      <c r="AE34">
        <f>_xlfn.STDEV.P(AD34:$AD$108)</f>
        <v>4.2739611283881478E-2</v>
      </c>
    </row>
    <row r="35" spans="2:31" x14ac:dyDescent="0.2">
      <c r="B35" s="16">
        <v>36130</v>
      </c>
      <c r="C35" s="9">
        <v>280</v>
      </c>
      <c r="D35" s="82">
        <f t="shared" si="0"/>
        <v>1.4492753623188406E-2</v>
      </c>
      <c r="E35" s="43">
        <f>_xlfn.STDEV.P(D35:$D$108)</f>
        <v>8.2573091223602527E-2</v>
      </c>
      <c r="F35">
        <f t="shared" si="1"/>
        <v>1.4388737452099671E-2</v>
      </c>
      <c r="G35" s="16">
        <v>36130</v>
      </c>
      <c r="H35" s="9">
        <v>350</v>
      </c>
      <c r="I35" s="82">
        <f t="shared" si="2"/>
        <v>3.2448377581120944E-2</v>
      </c>
      <c r="J35" s="43">
        <f>_xlfn.STDEV.P(I35:$I$109)</f>
        <v>0.12344460370708063</v>
      </c>
      <c r="K35">
        <f t="shared" si="3"/>
        <v>3.193304710300901E-2</v>
      </c>
      <c r="M35" s="16">
        <v>36130</v>
      </c>
      <c r="N35" s="9">
        <v>225</v>
      </c>
      <c r="O35" s="82">
        <f t="shared" si="7"/>
        <v>0.125</v>
      </c>
      <c r="P35" s="44">
        <f>_xlfn.STDEV.P(O35:$O$109)</f>
        <v>0.13127957046453662</v>
      </c>
      <c r="Q35">
        <f t="shared" si="8"/>
        <v>0.11778303565638346</v>
      </c>
      <c r="R35" s="16">
        <v>36130</v>
      </c>
      <c r="S35" s="60">
        <v>250</v>
      </c>
      <c r="T35" s="82">
        <f t="shared" si="4"/>
        <v>4.1666666666666664E-2</v>
      </c>
      <c r="U35" s="44">
        <f>_xlfn.STDEV.P(T35:$T$109)</f>
        <v>0.12333052807064633</v>
      </c>
      <c r="W35" s="16">
        <v>36130</v>
      </c>
      <c r="X35" s="59">
        <v>260</v>
      </c>
      <c r="Y35" s="82">
        <f t="shared" si="5"/>
        <v>6.1224489795918366E-2</v>
      </c>
      <c r="Z35">
        <f>_xlfn.STDEV.P(Y35:$Y$109)</f>
        <v>0.13050032193350827</v>
      </c>
      <c r="AB35" s="16">
        <v>36130</v>
      </c>
      <c r="AC35" s="59">
        <v>240</v>
      </c>
      <c r="AD35" s="82">
        <f t="shared" si="6"/>
        <v>3.4482758620689655E-2</v>
      </c>
      <c r="AE35">
        <f>_xlfn.STDEV.P(AD35:$AD$108)</f>
        <v>4.3018405704158769E-2</v>
      </c>
    </row>
    <row r="36" spans="2:31" x14ac:dyDescent="0.2">
      <c r="B36" s="16">
        <v>36220</v>
      </c>
      <c r="C36" s="9">
        <v>309</v>
      </c>
      <c r="D36" s="82">
        <f t="shared" si="0"/>
        <v>0.10357142857142858</v>
      </c>
      <c r="E36" s="43">
        <f>_xlfn.STDEV.P(D36:$D$108)</f>
        <v>8.3135008860812279E-2</v>
      </c>
      <c r="F36">
        <f t="shared" si="1"/>
        <v>9.8551673728495923E-2</v>
      </c>
      <c r="G36" s="16">
        <v>36220</v>
      </c>
      <c r="H36" s="9">
        <v>360</v>
      </c>
      <c r="I36" s="82">
        <f t="shared" si="2"/>
        <v>2.8571428571428571E-2</v>
      </c>
      <c r="J36" s="43">
        <f>_xlfn.STDEV.P(I36:$I$109)</f>
        <v>0.12424755371582075</v>
      </c>
      <c r="K36">
        <f t="shared" si="3"/>
        <v>2.8170876966696224E-2</v>
      </c>
      <c r="M36" s="16">
        <v>36220</v>
      </c>
      <c r="N36" s="9">
        <v>225</v>
      </c>
      <c r="O36" s="82">
        <f t="shared" si="7"/>
        <v>0</v>
      </c>
      <c r="P36" s="44">
        <f>_xlfn.STDEV.P(O36:$O$109)</f>
        <v>0.13142426085230344</v>
      </c>
      <c r="Q36">
        <f t="shared" si="8"/>
        <v>0</v>
      </c>
      <c r="R36" s="16">
        <v>36220</v>
      </c>
      <c r="S36" s="60">
        <v>250</v>
      </c>
      <c r="T36" s="82">
        <f t="shared" si="4"/>
        <v>0</v>
      </c>
      <c r="U36" s="44">
        <f>_xlfn.STDEV.P(T36:$T$109)</f>
        <v>0.12408196753847271</v>
      </c>
      <c r="W36" s="16">
        <v>36220</v>
      </c>
      <c r="X36" s="59">
        <v>258</v>
      </c>
      <c r="Y36" s="82">
        <f t="shared" si="5"/>
        <v>-7.6923076923076927E-3</v>
      </c>
      <c r="Z36">
        <f>_xlfn.STDEV.P(Y36:$Y$109)</f>
        <v>0.13121900153409594</v>
      </c>
      <c r="AB36" s="16">
        <v>36220</v>
      </c>
      <c r="AC36" s="59">
        <v>243</v>
      </c>
      <c r="AD36" s="82">
        <f t="shared" si="6"/>
        <v>1.2500000000000001E-2</v>
      </c>
      <c r="AE36">
        <f>_xlfn.STDEV.P(AD36:$AD$108)</f>
        <v>4.3259159967680302E-2</v>
      </c>
    </row>
    <row r="37" spans="2:31" x14ac:dyDescent="0.2">
      <c r="B37" s="16">
        <v>36312</v>
      </c>
      <c r="C37" s="9">
        <v>316</v>
      </c>
      <c r="D37" s="82">
        <f t="shared" si="0"/>
        <v>2.2653721682847898E-2</v>
      </c>
      <c r="E37" s="43">
        <f>_xlfn.STDEV.P(D37:$D$108)</f>
        <v>8.3108064917043326E-2</v>
      </c>
      <c r="F37">
        <f t="shared" si="1"/>
        <v>2.2400936689166713E-2</v>
      </c>
      <c r="G37" s="16">
        <v>36312</v>
      </c>
      <c r="H37" s="9">
        <v>375</v>
      </c>
      <c r="I37" s="82">
        <f t="shared" si="2"/>
        <v>4.1666666666666664E-2</v>
      </c>
      <c r="J37" s="43">
        <f>_xlfn.STDEV.P(I37:$I$109)</f>
        <v>0.12507540978051981</v>
      </c>
      <c r="K37">
        <f t="shared" si="3"/>
        <v>4.08219945202552E-2</v>
      </c>
      <c r="M37" s="16">
        <v>36312</v>
      </c>
      <c r="N37" s="9">
        <v>227</v>
      </c>
      <c r="O37" s="82">
        <f t="shared" si="7"/>
        <v>8.8888888888888889E-3</v>
      </c>
      <c r="P37" s="44">
        <f>_xlfn.STDEV.P(O37:$O$109)</f>
        <v>0.13232048244563199</v>
      </c>
      <c r="Q37">
        <f t="shared" si="8"/>
        <v>8.8496152769826E-3</v>
      </c>
      <c r="R37" s="16">
        <v>36312</v>
      </c>
      <c r="S37" s="60">
        <v>265</v>
      </c>
      <c r="T37" s="82">
        <f t="shared" si="4"/>
        <v>0.06</v>
      </c>
      <c r="U37" s="44">
        <f>_xlfn.STDEV.P(T37:$T$109)</f>
        <v>0.12492834946320984</v>
      </c>
      <c r="W37" s="16">
        <v>36312</v>
      </c>
      <c r="X37" s="59">
        <v>275</v>
      </c>
      <c r="Y37" s="82">
        <f t="shared" si="5"/>
        <v>6.589147286821706E-2</v>
      </c>
      <c r="Z37">
        <f>_xlfn.STDEV.P(Y37:$Y$109)</f>
        <v>0.13210614735096274</v>
      </c>
      <c r="AB37" s="16">
        <v>36312</v>
      </c>
      <c r="AC37" s="59">
        <v>253</v>
      </c>
      <c r="AD37" s="82">
        <f t="shared" si="6"/>
        <v>4.1152263374485597E-2</v>
      </c>
      <c r="AE37">
        <f>_xlfn.STDEV.P(AD37:$AD$108)</f>
        <v>4.3556468415995211E-2</v>
      </c>
    </row>
    <row r="38" spans="2:31" x14ac:dyDescent="0.2">
      <c r="B38" s="16">
        <v>36404</v>
      </c>
      <c r="C38" s="9">
        <v>315</v>
      </c>
      <c r="D38" s="82">
        <f t="shared" si="0"/>
        <v>-3.1645569620253164E-3</v>
      </c>
      <c r="E38" s="43">
        <f>_xlfn.STDEV.P(D38:$D$108)</f>
        <v>8.368938273417223E-2</v>
      </c>
      <c r="F38">
        <f t="shared" si="1"/>
        <v>-3.1695747612790672E-3</v>
      </c>
      <c r="G38" s="16">
        <v>36404</v>
      </c>
      <c r="H38" s="9">
        <v>380</v>
      </c>
      <c r="I38" s="82">
        <f t="shared" si="2"/>
        <v>1.3333333333333334E-2</v>
      </c>
      <c r="J38" s="43">
        <f>_xlfn.STDEV.P(I38:$I$109)</f>
        <v>0.12588206762479173</v>
      </c>
      <c r="K38">
        <f t="shared" si="3"/>
        <v>1.3245226750020723E-2</v>
      </c>
      <c r="M38" s="16">
        <v>36404</v>
      </c>
      <c r="N38" s="9">
        <v>221</v>
      </c>
      <c r="O38" s="82">
        <f t="shared" si="7"/>
        <v>-2.643171806167401E-2</v>
      </c>
      <c r="P38" s="44">
        <f>_xlfn.STDEV.P(O38:$O$109)</f>
        <v>0.13323502320695305</v>
      </c>
      <c r="Q38">
        <f t="shared" si="8"/>
        <v>-2.6787315963649843E-2</v>
      </c>
      <c r="R38" s="16">
        <v>36404</v>
      </c>
      <c r="S38" s="60">
        <v>270</v>
      </c>
      <c r="T38" s="82">
        <f t="shared" si="4"/>
        <v>1.8867924528301886E-2</v>
      </c>
      <c r="U38" s="44">
        <f>_xlfn.STDEV.P(T38:$T$109)</f>
        <v>0.12561310475995696</v>
      </c>
      <c r="W38" s="16">
        <v>36404</v>
      </c>
      <c r="X38" s="59">
        <v>277</v>
      </c>
      <c r="Y38" s="82">
        <f t="shared" si="5"/>
        <v>7.2727272727272727E-3</v>
      </c>
      <c r="Z38">
        <f>_xlfn.STDEV.P(Y38:$Y$109)</f>
        <v>0.13282555126943732</v>
      </c>
      <c r="AB38" s="16">
        <v>36404</v>
      </c>
      <c r="AC38" s="59">
        <v>260</v>
      </c>
      <c r="AD38" s="82">
        <f t="shared" si="6"/>
        <v>2.766798418972332E-2</v>
      </c>
      <c r="AE38">
        <f>_xlfn.STDEV.P(AD38:$AD$108)</f>
        <v>4.3760031938320863E-2</v>
      </c>
    </row>
    <row r="39" spans="2:31" x14ac:dyDescent="0.2">
      <c r="B39" s="16">
        <v>36495</v>
      </c>
      <c r="C39" s="9">
        <v>323</v>
      </c>
      <c r="D39" s="82">
        <f t="shared" si="0"/>
        <v>2.5396825396825397E-2</v>
      </c>
      <c r="E39" s="43">
        <f>_xlfn.STDEV.P(D39:$D$108)</f>
        <v>8.4247026299049968E-2</v>
      </c>
      <c r="F39">
        <f t="shared" si="1"/>
        <v>2.5079684397023391E-2</v>
      </c>
      <c r="G39" s="16">
        <v>36495</v>
      </c>
      <c r="H39" s="9">
        <v>385</v>
      </c>
      <c r="I39" s="82">
        <f t="shared" si="2"/>
        <v>1.3157894736842105E-2</v>
      </c>
      <c r="J39" s="43">
        <f>_xlfn.STDEV.P(I39:$I$109)</f>
        <v>0.12676427998810355</v>
      </c>
      <c r="K39">
        <f t="shared" si="3"/>
        <v>1.3072081567352701E-2</v>
      </c>
      <c r="M39" s="16">
        <v>36495</v>
      </c>
      <c r="N39" s="9">
        <v>230</v>
      </c>
      <c r="O39" s="82">
        <f t="shared" si="7"/>
        <v>4.072398190045249E-2</v>
      </c>
      <c r="P39" s="44">
        <f>_xlfn.STDEV.P(O39:$O$109)</f>
        <v>0.13412041654290455</v>
      </c>
      <c r="Q39">
        <f t="shared" si="8"/>
        <v>3.9916607405442631E-2</v>
      </c>
      <c r="R39" s="16">
        <v>36495</v>
      </c>
      <c r="S39" s="60">
        <v>280</v>
      </c>
      <c r="T39" s="82">
        <f t="shared" si="4"/>
        <v>3.7037037037037035E-2</v>
      </c>
      <c r="U39" s="44">
        <f>_xlfn.STDEV.P(T39:$T$109)</f>
        <v>0.12647958515763502</v>
      </c>
      <c r="W39" s="16">
        <v>36495</v>
      </c>
      <c r="X39" s="59">
        <v>293</v>
      </c>
      <c r="Y39" s="82">
        <f t="shared" si="5"/>
        <v>5.7761732851985562E-2</v>
      </c>
      <c r="Z39">
        <f>_xlfn.STDEV.P(Y39:$Y$109)</f>
        <v>0.13375723137320036</v>
      </c>
      <c r="AB39" s="16">
        <v>36495</v>
      </c>
      <c r="AC39" s="59">
        <v>265</v>
      </c>
      <c r="AD39" s="82">
        <f t="shared" si="6"/>
        <v>1.9230769230769232E-2</v>
      </c>
      <c r="AE39">
        <f>_xlfn.STDEV.P(AD39:$AD$108)</f>
        <v>4.4048227976470483E-2</v>
      </c>
    </row>
    <row r="40" spans="2:31" x14ac:dyDescent="0.2">
      <c r="B40" s="16">
        <v>36586</v>
      </c>
      <c r="C40" s="9">
        <v>328</v>
      </c>
      <c r="D40" s="82">
        <f t="shared" si="0"/>
        <v>1.5479876160990712E-2</v>
      </c>
      <c r="E40" s="43">
        <f>_xlfn.STDEV.P(D40:$D$108)</f>
        <v>8.4850783874536734E-2</v>
      </c>
      <c r="F40">
        <f t="shared" si="1"/>
        <v>1.5361285161487149E-2</v>
      </c>
      <c r="G40" s="16">
        <v>36586</v>
      </c>
      <c r="H40" s="9">
        <v>390</v>
      </c>
      <c r="I40" s="82">
        <f t="shared" si="2"/>
        <v>1.2987012987012988E-2</v>
      </c>
      <c r="J40" s="43">
        <f>_xlfn.STDEV.P(I40:$I$109)</f>
        <v>0.12766539514414729</v>
      </c>
      <c r="K40">
        <f t="shared" si="3"/>
        <v>1.2903404835907782E-2</v>
      </c>
      <c r="M40" s="16">
        <v>36586</v>
      </c>
      <c r="N40" s="9">
        <v>248</v>
      </c>
      <c r="O40" s="82">
        <f t="shared" si="7"/>
        <v>7.8260869565217397E-2</v>
      </c>
      <c r="P40" s="44">
        <f>_xlfn.STDEV.P(O40:$O$109)</f>
        <v>0.13500470945261123</v>
      </c>
      <c r="Q40">
        <f t="shared" si="8"/>
        <v>7.534943724178679E-2</v>
      </c>
      <c r="R40" s="16">
        <v>36586</v>
      </c>
      <c r="S40" s="60">
        <v>279</v>
      </c>
      <c r="T40" s="82">
        <f t="shared" si="4"/>
        <v>-3.5714285714285713E-3</v>
      </c>
      <c r="U40" s="44">
        <f>_xlfn.STDEV.P(T40:$T$109)</f>
        <v>0.12731125505270166</v>
      </c>
      <c r="W40" s="16">
        <v>36586</v>
      </c>
      <c r="X40" s="59">
        <v>285</v>
      </c>
      <c r="Y40" s="82">
        <f t="shared" si="5"/>
        <v>-2.7303754266211604E-2</v>
      </c>
      <c r="Z40">
        <f>_xlfn.STDEV.P(Y40:$Y$109)</f>
        <v>0.13455579310395743</v>
      </c>
      <c r="AB40" s="16">
        <v>36586</v>
      </c>
      <c r="AC40" s="59">
        <v>270</v>
      </c>
      <c r="AD40" s="82">
        <f t="shared" si="6"/>
        <v>1.8867924528301886E-2</v>
      </c>
      <c r="AE40">
        <f>_xlfn.STDEV.P(AD40:$AD$108)</f>
        <v>4.4364088731427651E-2</v>
      </c>
    </row>
    <row r="41" spans="2:31" x14ac:dyDescent="0.2">
      <c r="B41" s="16">
        <v>36678</v>
      </c>
      <c r="C41" s="9">
        <v>356</v>
      </c>
      <c r="D41" s="82">
        <f t="shared" si="0"/>
        <v>8.5365853658536592E-2</v>
      </c>
      <c r="E41" s="43">
        <f>_xlfn.STDEV.P(D41:$D$108)</f>
        <v>8.5471828839687861E-2</v>
      </c>
      <c r="F41">
        <f t="shared" si="1"/>
        <v>8.1917122467886794E-2</v>
      </c>
      <c r="G41" s="16">
        <v>36678</v>
      </c>
      <c r="H41" s="9">
        <v>415</v>
      </c>
      <c r="I41" s="82">
        <f t="shared" si="2"/>
        <v>6.4102564102564097E-2</v>
      </c>
      <c r="J41" s="43">
        <f>_xlfn.STDEV.P(I41:$I$109)</f>
        <v>0.12858609143630612</v>
      </c>
      <c r="K41">
        <f t="shared" si="3"/>
        <v>6.2131781107006179E-2</v>
      </c>
      <c r="M41" s="16">
        <v>36678</v>
      </c>
      <c r="N41" s="9">
        <v>245</v>
      </c>
      <c r="O41" s="82">
        <f t="shared" si="7"/>
        <v>-1.2096774193548387E-2</v>
      </c>
      <c r="P41" s="44">
        <f>_xlfn.STDEV.P(O41:$O$109)</f>
        <v>0.13568105930298918</v>
      </c>
      <c r="Q41">
        <f t="shared" si="8"/>
        <v>-1.2170535620255179E-2</v>
      </c>
      <c r="R41" s="16">
        <v>36678</v>
      </c>
      <c r="S41" s="60">
        <v>295</v>
      </c>
      <c r="T41" s="82">
        <f t="shared" si="4"/>
        <v>5.7347670250896057E-2</v>
      </c>
      <c r="U41" s="44">
        <f>_xlfn.STDEV.P(T41:$T$109)</f>
        <v>0.12822881004223388</v>
      </c>
      <c r="W41" s="16">
        <v>36678</v>
      </c>
      <c r="X41" s="59">
        <v>310</v>
      </c>
      <c r="Y41" s="82">
        <f t="shared" si="5"/>
        <v>8.771929824561403E-2</v>
      </c>
      <c r="Z41">
        <f>_xlfn.STDEV.P(Y41:$Y$109)</f>
        <v>0.13547552309058189</v>
      </c>
      <c r="AB41" s="16">
        <v>36678</v>
      </c>
      <c r="AC41" s="59">
        <v>278</v>
      </c>
      <c r="AD41" s="82">
        <f t="shared" si="6"/>
        <v>2.9629629629629631E-2</v>
      </c>
      <c r="AE41">
        <f>_xlfn.STDEV.P(AD41:$AD$108)</f>
        <v>4.4687266858508295E-2</v>
      </c>
    </row>
    <row r="42" spans="2:31" x14ac:dyDescent="0.2">
      <c r="B42" s="16">
        <v>36770</v>
      </c>
      <c r="C42" s="9">
        <v>333</v>
      </c>
      <c r="D42" s="82">
        <f t="shared" si="0"/>
        <v>-6.4606741573033713E-2</v>
      </c>
      <c r="E42" s="43">
        <f>_xlfn.STDEV.P(D42:$D$108)</f>
        <v>8.5708363440725105E-2</v>
      </c>
      <c r="F42">
        <f t="shared" si="1"/>
        <v>-6.6788240871586621E-2</v>
      </c>
      <c r="G42" s="16">
        <v>36770</v>
      </c>
      <c r="H42" s="9">
        <v>390</v>
      </c>
      <c r="I42" s="82">
        <f t="shared" si="2"/>
        <v>-6.0240963855421686E-2</v>
      </c>
      <c r="J42" s="43">
        <f>_xlfn.STDEV.P(I42:$I$109)</f>
        <v>0.12935031945648029</v>
      </c>
      <c r="K42">
        <f t="shared" si="3"/>
        <v>-6.2131781107006158E-2</v>
      </c>
      <c r="M42" s="16">
        <v>36770</v>
      </c>
      <c r="N42" s="9">
        <v>240</v>
      </c>
      <c r="O42" s="82">
        <f t="shared" si="7"/>
        <v>-2.0408163265306121E-2</v>
      </c>
      <c r="P42" s="44">
        <f>_xlfn.STDEV.P(O42:$O$109)</f>
        <v>0.13666274805409673</v>
      </c>
      <c r="Q42">
        <f t="shared" si="8"/>
        <v>-2.0619287202735703E-2</v>
      </c>
      <c r="R42" s="16">
        <v>36770</v>
      </c>
      <c r="S42" s="60">
        <v>275</v>
      </c>
      <c r="T42" s="82">
        <f t="shared" si="4"/>
        <v>-6.7796610169491525E-2</v>
      </c>
      <c r="U42" s="44">
        <f>_xlfn.STDEV.P(T42:$T$109)</f>
        <v>0.12899056243948928</v>
      </c>
      <c r="W42" s="16">
        <v>36770</v>
      </c>
      <c r="X42" s="59">
        <v>282</v>
      </c>
      <c r="Y42" s="82">
        <f t="shared" si="5"/>
        <v>-9.0322580645161285E-2</v>
      </c>
      <c r="Z42">
        <f>_xlfn.STDEV.P(Y42:$Y$109)</f>
        <v>0.13608470792830968</v>
      </c>
      <c r="AB42" s="16">
        <v>36770</v>
      </c>
      <c r="AC42" s="59">
        <v>265</v>
      </c>
      <c r="AD42" s="82">
        <f t="shared" si="6"/>
        <v>-4.6762589928057555E-2</v>
      </c>
      <c r="AE42">
        <f>_xlfn.STDEV.P(AD42:$AD$108)</f>
        <v>4.4985924069121726E-2</v>
      </c>
    </row>
    <row r="43" spans="2:31" x14ac:dyDescent="0.2">
      <c r="B43" s="16">
        <v>36861</v>
      </c>
      <c r="C43" s="9">
        <v>340</v>
      </c>
      <c r="D43" s="82">
        <f t="shared" si="0"/>
        <v>2.1021021021021023E-2</v>
      </c>
      <c r="E43" s="43">
        <f>_xlfn.STDEV.P(D43:$D$108)</f>
        <v>8.5758721973011376E-2</v>
      </c>
      <c r="F43">
        <f t="shared" si="1"/>
        <v>2.0803127629763326E-2</v>
      </c>
      <c r="G43" s="16">
        <v>36861</v>
      </c>
      <c r="H43" s="9">
        <v>407</v>
      </c>
      <c r="I43" s="82">
        <f t="shared" si="2"/>
        <v>4.3589743589743588E-2</v>
      </c>
      <c r="J43" s="43">
        <f>_xlfn.STDEV.P(I43:$I$109)</f>
        <v>0.13004311466858118</v>
      </c>
      <c r="K43">
        <f t="shared" si="3"/>
        <v>4.2666446318902942E-2</v>
      </c>
      <c r="M43" s="16">
        <v>36861</v>
      </c>
      <c r="N43" s="9">
        <v>255</v>
      </c>
      <c r="O43" s="82">
        <f t="shared" si="7"/>
        <v>6.25E-2</v>
      </c>
      <c r="P43" s="44">
        <f>_xlfn.STDEV.P(O43:$O$109)</f>
        <v>0.1376483082565047</v>
      </c>
      <c r="Q43">
        <f t="shared" si="8"/>
        <v>6.062462181643484E-2</v>
      </c>
      <c r="R43" s="16">
        <v>36861</v>
      </c>
      <c r="S43" s="60">
        <v>293</v>
      </c>
      <c r="T43" s="82">
        <f t="shared" si="4"/>
        <v>6.545454545454546E-2</v>
      </c>
      <c r="U43" s="44">
        <f>_xlfn.STDEV.P(T43:$T$109)</f>
        <v>0.12967272341771383</v>
      </c>
      <c r="W43" s="16">
        <v>36861</v>
      </c>
      <c r="X43" s="59">
        <v>303</v>
      </c>
      <c r="Y43" s="82">
        <f t="shared" si="5"/>
        <v>7.4468085106382975E-2</v>
      </c>
      <c r="Z43">
        <f>_xlfn.STDEV.P(Y43:$Y$109)</f>
        <v>0.13661642909181596</v>
      </c>
      <c r="AB43" s="16">
        <v>36861</v>
      </c>
      <c r="AC43" s="59">
        <v>281</v>
      </c>
      <c r="AD43" s="82">
        <f t="shared" si="6"/>
        <v>6.0377358490566038E-2</v>
      </c>
      <c r="AE43">
        <f>_xlfn.STDEV.P(AD43:$AD$108)</f>
        <v>4.4667324718587462E-2</v>
      </c>
    </row>
    <row r="44" spans="2:31" x14ac:dyDescent="0.2">
      <c r="B44" s="16">
        <v>36951</v>
      </c>
      <c r="C44" s="9">
        <v>350</v>
      </c>
      <c r="D44" s="82">
        <f t="shared" si="0"/>
        <v>2.9411764705882353E-2</v>
      </c>
      <c r="E44" s="43">
        <f>_xlfn.STDEV.P(D44:$D$108)</f>
        <v>8.6415232564338085E-2</v>
      </c>
      <c r="F44">
        <f t="shared" si="1"/>
        <v>2.8987536873252187E-2</v>
      </c>
      <c r="G44" s="16">
        <v>36951</v>
      </c>
      <c r="H44" s="9">
        <v>410</v>
      </c>
      <c r="I44" s="82">
        <f t="shared" si="2"/>
        <v>7.3710073710073713E-3</v>
      </c>
      <c r="J44" s="43">
        <f>_xlfn.STDEV.P(I44:$I$109)</f>
        <v>0.13095336419828885</v>
      </c>
      <c r="K44">
        <f t="shared" si="3"/>
        <v>7.3439742557585052E-3</v>
      </c>
      <c r="M44" s="16">
        <v>36951</v>
      </c>
      <c r="N44" s="9">
        <v>261</v>
      </c>
      <c r="O44" s="82">
        <f t="shared" si="7"/>
        <v>2.3529411764705882E-2</v>
      </c>
      <c r="P44" s="44">
        <f>_xlfn.STDEV.P(O44:$O$109)</f>
        <v>0.13849402180993067</v>
      </c>
      <c r="Q44">
        <f t="shared" si="8"/>
        <v>2.3256862164267183E-2</v>
      </c>
      <c r="R44" s="16">
        <v>36951</v>
      </c>
      <c r="S44" s="60">
        <v>299</v>
      </c>
      <c r="T44" s="82">
        <f t="shared" si="4"/>
        <v>2.0477815699658702E-2</v>
      </c>
      <c r="U44" s="44">
        <f>_xlfn.STDEV.P(T44:$T$109)</f>
        <v>0.13041506866889638</v>
      </c>
      <c r="W44" s="16">
        <v>36951</v>
      </c>
      <c r="X44" s="59">
        <v>310</v>
      </c>
      <c r="Y44" s="82">
        <f t="shared" si="5"/>
        <v>2.3102310231023101E-2</v>
      </c>
      <c r="Z44">
        <f>_xlfn.STDEV.P(Y44:$Y$109)</f>
        <v>0.13737139999539955</v>
      </c>
      <c r="AB44" s="16">
        <v>36951</v>
      </c>
      <c r="AC44" s="59">
        <v>288</v>
      </c>
      <c r="AD44" s="82">
        <f t="shared" si="6"/>
        <v>2.491103202846975E-2</v>
      </c>
      <c r="AE44">
        <f>_xlfn.STDEV.P(AD44:$AD$108)</f>
        <v>4.467012386422451E-2</v>
      </c>
    </row>
    <row r="45" spans="2:31" x14ac:dyDescent="0.2">
      <c r="B45" s="16">
        <v>37043</v>
      </c>
      <c r="C45" s="9">
        <v>374</v>
      </c>
      <c r="D45" s="82">
        <f t="shared" si="0"/>
        <v>6.8571428571428575E-2</v>
      </c>
      <c r="E45" s="43">
        <f>_xlfn.STDEV.P(D45:$D$108)</f>
        <v>8.7076463824334621E-2</v>
      </c>
      <c r="F45">
        <f t="shared" si="1"/>
        <v>6.6322642931072512E-2</v>
      </c>
      <c r="G45" s="16">
        <v>37043</v>
      </c>
      <c r="H45" s="9">
        <v>455</v>
      </c>
      <c r="I45" s="82">
        <f t="shared" si="2"/>
        <v>0.10975609756097561</v>
      </c>
      <c r="J45" s="43">
        <f>_xlfn.STDEV.P(I45:$I$109)</f>
        <v>0.13195680898238074</v>
      </c>
      <c r="K45">
        <f t="shared" si="3"/>
        <v>0.10414025925259701</v>
      </c>
      <c r="M45" s="16">
        <v>37043</v>
      </c>
      <c r="N45" s="9">
        <v>299</v>
      </c>
      <c r="O45" s="82">
        <f t="shared" si="7"/>
        <v>0.14559386973180077</v>
      </c>
      <c r="P45" s="44">
        <f>_xlfn.STDEV.P(O45:$O$109)</f>
        <v>0.13953079288755429</v>
      </c>
      <c r="Q45">
        <f t="shared" si="8"/>
        <v>0.13592316606799293</v>
      </c>
      <c r="R45" s="16">
        <v>37043</v>
      </c>
      <c r="S45" s="60">
        <v>316</v>
      </c>
      <c r="T45" s="82">
        <f t="shared" si="4"/>
        <v>5.6856187290969896E-2</v>
      </c>
      <c r="U45" s="44">
        <f>_xlfn.STDEV.P(T45:$T$109)</f>
        <v>0.13139225104425495</v>
      </c>
      <c r="W45" s="16">
        <v>37043</v>
      </c>
      <c r="X45" s="59">
        <v>327</v>
      </c>
      <c r="Y45" s="82">
        <f t="shared" si="5"/>
        <v>5.4838709677419356E-2</v>
      </c>
      <c r="Z45">
        <f>_xlfn.STDEV.P(Y45:$Y$109)</f>
        <v>0.13840158272353978</v>
      </c>
      <c r="AB45" s="16">
        <v>37043</v>
      </c>
      <c r="AC45" s="59">
        <v>305</v>
      </c>
      <c r="AD45" s="82">
        <f t="shared" si="6"/>
        <v>5.9027777777777776E-2</v>
      </c>
      <c r="AE45">
        <f>_xlfn.STDEV.P(AD45:$AD$108)</f>
        <v>4.5002313762747062E-2</v>
      </c>
    </row>
    <row r="46" spans="2:31" x14ac:dyDescent="0.2">
      <c r="B46" s="16">
        <v>37135</v>
      </c>
      <c r="C46" s="9">
        <v>385</v>
      </c>
      <c r="D46" s="82">
        <f t="shared" si="0"/>
        <v>2.9411764705882353E-2</v>
      </c>
      <c r="E46" s="43">
        <f>_xlfn.STDEV.P(D46:$D$108)</f>
        <v>8.7530648925608454E-2</v>
      </c>
      <c r="F46">
        <f t="shared" si="1"/>
        <v>2.8987536873252187E-2</v>
      </c>
      <c r="G46" s="16">
        <v>37135</v>
      </c>
      <c r="H46" s="9">
        <v>482</v>
      </c>
      <c r="I46" s="82">
        <f t="shared" si="2"/>
        <v>5.9340659340659338E-2</v>
      </c>
      <c r="J46" s="43">
        <f>_xlfn.STDEV.P(I46:$I$109)</f>
        <v>0.13236748334969517</v>
      </c>
      <c r="K46">
        <f t="shared" si="3"/>
        <v>5.7646695099649897E-2</v>
      </c>
      <c r="M46" s="16">
        <v>37135</v>
      </c>
      <c r="N46" s="9">
        <v>295</v>
      </c>
      <c r="O46" s="82">
        <f t="shared" si="7"/>
        <v>-1.3377926421404682E-2</v>
      </c>
      <c r="P46" s="44">
        <f>_xlfn.STDEV.P(O46:$O$109)</f>
        <v>0.13945297923220623</v>
      </c>
      <c r="Q46">
        <f t="shared" si="8"/>
        <v>-1.3468217050866593E-2</v>
      </c>
      <c r="R46" s="16">
        <v>37135</v>
      </c>
      <c r="S46" s="60">
        <v>328</v>
      </c>
      <c r="T46" s="82">
        <f t="shared" si="4"/>
        <v>3.7974683544303799E-2</v>
      </c>
      <c r="U46" s="44">
        <f>_xlfn.STDEV.P(T46:$T$109)</f>
        <v>0.1322267706308467</v>
      </c>
      <c r="W46" s="16">
        <v>37135</v>
      </c>
      <c r="X46" s="59">
        <v>335</v>
      </c>
      <c r="Y46" s="82">
        <f t="shared" si="5"/>
        <v>2.4464831804281346E-2</v>
      </c>
      <c r="Z46">
        <f>_xlfn.STDEV.P(Y46:$Y$109)</f>
        <v>0.13932471124624424</v>
      </c>
      <c r="AB46" s="16">
        <v>37135</v>
      </c>
      <c r="AC46" s="59">
        <v>320</v>
      </c>
      <c r="AD46" s="82">
        <f t="shared" si="6"/>
        <v>4.9180327868852458E-2</v>
      </c>
      <c r="AE46">
        <f>_xlfn.STDEV.P(AD46:$AD$108)</f>
        <v>4.5018549168015128E-2</v>
      </c>
    </row>
    <row r="47" spans="2:31" x14ac:dyDescent="0.2">
      <c r="B47" s="16">
        <v>37226</v>
      </c>
      <c r="C47" s="9">
        <v>384</v>
      </c>
      <c r="D47" s="82">
        <f t="shared" si="0"/>
        <v>-2.5974025974025974E-3</v>
      </c>
      <c r="E47" s="43">
        <f>_xlfn.STDEV.P(D47:$D$108)</f>
        <v>8.8220126440074861E-2</v>
      </c>
      <c r="F47">
        <f t="shared" si="1"/>
        <v>-2.6007817000573675E-3</v>
      </c>
      <c r="G47" s="16">
        <v>37226</v>
      </c>
      <c r="H47" s="9">
        <v>500</v>
      </c>
      <c r="I47" s="82">
        <f t="shared" si="2"/>
        <v>3.7344398340248962E-2</v>
      </c>
      <c r="J47" s="43">
        <f>_xlfn.STDEV.P(I47:$I$109)</f>
        <v>0.13324606183679191</v>
      </c>
      <c r="K47">
        <f t="shared" si="3"/>
        <v>3.6663984371591525E-2</v>
      </c>
      <c r="M47" s="16">
        <v>37226</v>
      </c>
      <c r="N47" s="9">
        <v>315</v>
      </c>
      <c r="O47" s="82">
        <f t="shared" si="7"/>
        <v>6.7796610169491525E-2</v>
      </c>
      <c r="P47" s="44">
        <f>_xlfn.STDEV.P(O47:$O$109)</f>
        <v>0.14054505405810258</v>
      </c>
      <c r="Q47">
        <f t="shared" si="8"/>
        <v>6.5597282485813271E-2</v>
      </c>
      <c r="R47" s="16">
        <v>37226</v>
      </c>
      <c r="S47" s="60">
        <v>338</v>
      </c>
      <c r="T47" s="82">
        <f t="shared" si="4"/>
        <v>3.048780487804878E-2</v>
      </c>
      <c r="U47" s="44">
        <f>_xlfn.STDEV.P(T47:$T$109)</f>
        <v>0.13318473391766866</v>
      </c>
      <c r="W47" s="16">
        <v>37226</v>
      </c>
      <c r="X47" s="59">
        <v>353</v>
      </c>
      <c r="Y47" s="82">
        <f t="shared" si="5"/>
        <v>5.3731343283582089E-2</v>
      </c>
      <c r="Z47">
        <f>_xlfn.STDEV.P(Y47:$Y$109)</f>
        <v>0.14039718356978925</v>
      </c>
      <c r="AB47" s="16">
        <v>37226</v>
      </c>
      <c r="AC47" s="59">
        <v>325</v>
      </c>
      <c r="AD47" s="82">
        <f t="shared" si="6"/>
        <v>1.5625E-2</v>
      </c>
      <c r="AE47">
        <f>_xlfn.STDEV.P(AD47:$AD$108)</f>
        <v>4.5165113550692949E-2</v>
      </c>
    </row>
    <row r="48" spans="2:31" x14ac:dyDescent="0.2">
      <c r="B48" s="16">
        <v>37316</v>
      </c>
      <c r="C48" s="9">
        <v>410</v>
      </c>
      <c r="D48" s="82">
        <f t="shared" si="0"/>
        <v>6.7708333333333329E-2</v>
      </c>
      <c r="E48" s="43">
        <f>_xlfn.STDEV.P(D48:$D$108)</f>
        <v>8.8903878394597721E-2</v>
      </c>
      <c r="F48">
        <f t="shared" si="1"/>
        <v>6.5514607110626566E-2</v>
      </c>
      <c r="G48" s="16">
        <v>37316</v>
      </c>
      <c r="H48" s="9">
        <v>520</v>
      </c>
      <c r="I48" s="82">
        <f t="shared" si="2"/>
        <v>0.04</v>
      </c>
      <c r="J48" s="43">
        <f>_xlfn.STDEV.P(I48:$I$109)</f>
        <v>0.1342556981303375</v>
      </c>
      <c r="K48">
        <f t="shared" si="3"/>
        <v>3.9220713153281329E-2</v>
      </c>
      <c r="M48" s="16">
        <v>37316</v>
      </c>
      <c r="N48" s="9">
        <v>310</v>
      </c>
      <c r="O48" s="82">
        <f t="shared" si="7"/>
        <v>-1.5873015873015872E-2</v>
      </c>
      <c r="P48" s="44">
        <f>_xlfn.STDEV.P(O48:$O$109)</f>
        <v>0.14140987190107554</v>
      </c>
      <c r="Q48">
        <f t="shared" si="8"/>
        <v>-1.6000341346441075E-2</v>
      </c>
      <c r="R48" s="16">
        <v>37316</v>
      </c>
      <c r="S48" s="60">
        <v>350</v>
      </c>
      <c r="T48" s="82">
        <f t="shared" si="4"/>
        <v>3.5502958579881658E-2</v>
      </c>
      <c r="U48" s="44">
        <f>_xlfn.STDEV.P(T48:$T$109)</f>
        <v>0.13419544850414641</v>
      </c>
      <c r="W48" s="16">
        <v>37316</v>
      </c>
      <c r="X48" s="59">
        <v>360</v>
      </c>
      <c r="Y48" s="82">
        <f t="shared" si="5"/>
        <v>1.9830028328611898E-2</v>
      </c>
      <c r="Z48">
        <f>_xlfn.STDEV.P(Y48:$Y$109)</f>
        <v>0.1413678298190334</v>
      </c>
      <c r="AB48" s="16">
        <v>37316</v>
      </c>
      <c r="AC48" s="59">
        <v>335</v>
      </c>
      <c r="AD48" s="82">
        <f t="shared" si="6"/>
        <v>3.0769230769230771E-2</v>
      </c>
      <c r="AE48">
        <f>_xlfn.STDEV.P(AD48:$AD$108)</f>
        <v>4.5533420111277451E-2</v>
      </c>
    </row>
    <row r="49" spans="2:31" x14ac:dyDescent="0.2">
      <c r="B49" s="16">
        <v>37408</v>
      </c>
      <c r="C49" s="9">
        <v>460</v>
      </c>
      <c r="D49" s="82">
        <f t="shared" si="0"/>
        <v>0.12195121951219512</v>
      </c>
      <c r="E49" s="43">
        <f>_xlfn.STDEV.P(D49:$D$108)</f>
        <v>8.940257118064944E-2</v>
      </c>
      <c r="F49">
        <f t="shared" si="1"/>
        <v>0.11506932978478729</v>
      </c>
      <c r="G49" s="16">
        <v>37408</v>
      </c>
      <c r="H49" s="9">
        <v>582</v>
      </c>
      <c r="I49" s="82">
        <f t="shared" si="2"/>
        <v>0.11923076923076924</v>
      </c>
      <c r="J49" s="43">
        <f>_xlfn.STDEV.P(I49:$I$109)</f>
        <v>0.13527761241551925</v>
      </c>
      <c r="K49">
        <f t="shared" si="3"/>
        <v>0.1126416361559648</v>
      </c>
      <c r="M49" s="16">
        <v>37408</v>
      </c>
      <c r="N49" s="9">
        <v>356</v>
      </c>
      <c r="O49" s="82">
        <f t="shared" si="7"/>
        <v>0.14838709677419354</v>
      </c>
      <c r="P49" s="44">
        <f>_xlfn.STDEV.P(O49:$O$109)</f>
        <v>0.14255103276665401</v>
      </c>
      <c r="Q49">
        <f t="shared" si="8"/>
        <v>0.13835843337283857</v>
      </c>
      <c r="R49" s="16">
        <v>37408</v>
      </c>
      <c r="S49" s="60">
        <v>370</v>
      </c>
      <c r="T49" s="82">
        <f t="shared" si="4"/>
        <v>5.7142857142857141E-2</v>
      </c>
      <c r="U49" s="44">
        <f>_xlfn.STDEV.P(T49:$T$109)</f>
        <v>0.13520833769568055</v>
      </c>
      <c r="W49" s="16">
        <v>37408</v>
      </c>
      <c r="X49" s="59">
        <v>390</v>
      </c>
      <c r="Y49" s="82">
        <f t="shared" si="5"/>
        <v>8.3333333333333329E-2</v>
      </c>
      <c r="Z49">
        <f>_xlfn.STDEV.P(Y49:$Y$109)</f>
        <v>0.1425007554196453</v>
      </c>
      <c r="AB49" s="16">
        <v>37408</v>
      </c>
      <c r="AC49" s="59">
        <v>353</v>
      </c>
      <c r="AD49" s="82">
        <f t="shared" si="6"/>
        <v>5.3731343283582089E-2</v>
      </c>
      <c r="AE49">
        <f>_xlfn.STDEV.P(AD49:$AD$108)</f>
        <v>4.5860195127080894E-2</v>
      </c>
    </row>
    <row r="50" spans="2:31" x14ac:dyDescent="0.2">
      <c r="B50" s="16">
        <v>37500</v>
      </c>
      <c r="C50" s="9">
        <v>481</v>
      </c>
      <c r="D50" s="82">
        <f t="shared" si="0"/>
        <v>4.5652173913043478E-2</v>
      </c>
      <c r="E50" s="43">
        <f>_xlfn.STDEV.P(D50:$D$108)</f>
        <v>8.9089876527113213E-2</v>
      </c>
      <c r="F50">
        <f t="shared" si="1"/>
        <v>4.4640780622620564E-2</v>
      </c>
      <c r="G50" s="16">
        <v>37500</v>
      </c>
      <c r="H50" s="9">
        <v>600</v>
      </c>
      <c r="I50" s="82">
        <f t="shared" si="2"/>
        <v>3.0927835051546393E-2</v>
      </c>
      <c r="J50" s="43">
        <f>_xlfn.STDEV.P(I50:$I$109)</f>
        <v>0.13558373254978337</v>
      </c>
      <c r="K50">
        <f t="shared" si="3"/>
        <v>3.0459207484708439E-2</v>
      </c>
      <c r="M50" s="16">
        <v>37500</v>
      </c>
      <c r="N50" s="9">
        <v>390</v>
      </c>
      <c r="O50" s="82">
        <f t="shared" si="7"/>
        <v>9.5505617977528087E-2</v>
      </c>
      <c r="P50" s="44">
        <f>_xlfn.STDEV.P(O50:$O$109)</f>
        <v>0.14241995068107621</v>
      </c>
      <c r="Q50">
        <f t="shared" si="8"/>
        <v>9.1216008271661569E-2</v>
      </c>
      <c r="R50" s="16">
        <v>37500</v>
      </c>
      <c r="S50" s="60">
        <v>385</v>
      </c>
      <c r="T50" s="82">
        <f t="shared" si="4"/>
        <v>4.0540540540540543E-2</v>
      </c>
      <c r="U50" s="44">
        <f>_xlfn.STDEV.P(T50:$T$109)</f>
        <v>0.13611494908893179</v>
      </c>
      <c r="W50" s="16">
        <v>37500</v>
      </c>
      <c r="X50" s="59">
        <v>410</v>
      </c>
      <c r="Y50" s="82">
        <f t="shared" si="5"/>
        <v>5.128205128205128E-2</v>
      </c>
      <c r="Z50">
        <f>_xlfn.STDEV.P(Y50:$Y$109)</f>
        <v>0.14327833039623078</v>
      </c>
      <c r="AB50" s="16">
        <v>37500</v>
      </c>
      <c r="AC50" s="59">
        <v>365</v>
      </c>
      <c r="AD50" s="82">
        <f t="shared" si="6"/>
        <v>3.39943342776204E-2</v>
      </c>
      <c r="AE50">
        <f>_xlfn.STDEV.P(AD50:$AD$108)</f>
        <v>4.5949939474131986E-2</v>
      </c>
    </row>
    <row r="51" spans="2:31" x14ac:dyDescent="0.2">
      <c r="B51" s="16">
        <v>37591</v>
      </c>
      <c r="C51" s="9">
        <v>465</v>
      </c>
      <c r="D51" s="82">
        <f t="shared" si="0"/>
        <v>-3.3264033264033266E-2</v>
      </c>
      <c r="E51" s="43">
        <f>_xlfn.STDEV.P(D51:$D$108)</f>
        <v>8.9761786626573997E-2</v>
      </c>
      <c r="F51">
        <f t="shared" si="1"/>
        <v>-3.3829864518404869E-2</v>
      </c>
      <c r="G51" s="16">
        <v>37591</v>
      </c>
      <c r="H51" s="9">
        <v>610</v>
      </c>
      <c r="I51" s="82">
        <f t="shared" si="2"/>
        <v>1.6666666666666666E-2</v>
      </c>
      <c r="J51" s="43">
        <f>_xlfn.STDEV.P(I51:$I$109)</f>
        <v>0.13667817765728588</v>
      </c>
      <c r="K51">
        <f t="shared" si="3"/>
        <v>1.6529301951210506E-2</v>
      </c>
      <c r="M51" s="16">
        <v>37591</v>
      </c>
      <c r="N51" s="9">
        <v>362</v>
      </c>
      <c r="O51" s="82">
        <f t="shared" si="7"/>
        <v>-7.179487179487179E-2</v>
      </c>
      <c r="P51" s="44">
        <f>_xlfn.STDEV.P(O51:$O$109)</f>
        <v>0.14303759427368945</v>
      </c>
      <c r="Q51">
        <f t="shared" si="8"/>
        <v>-7.450252729792102E-2</v>
      </c>
      <c r="R51" s="16">
        <v>37591</v>
      </c>
      <c r="S51" s="60">
        <v>400</v>
      </c>
      <c r="T51" s="82">
        <f t="shared" si="4"/>
        <v>3.896103896103896E-2</v>
      </c>
      <c r="U51" s="44">
        <f>_xlfn.STDEV.P(T51:$T$109)</f>
        <v>0.13714618672586529</v>
      </c>
      <c r="W51" s="16">
        <v>37591</v>
      </c>
      <c r="X51" s="59">
        <v>439</v>
      </c>
      <c r="Y51" s="82">
        <f t="shared" si="5"/>
        <v>7.0731707317073164E-2</v>
      </c>
      <c r="Z51">
        <f>_xlfn.STDEV.P(Y51:$Y$109)</f>
        <v>0.14432514537552177</v>
      </c>
      <c r="AB51" s="16">
        <v>37591</v>
      </c>
      <c r="AC51" s="59">
        <v>363</v>
      </c>
      <c r="AD51" s="82">
        <f t="shared" si="6"/>
        <v>-5.4794520547945206E-3</v>
      </c>
      <c r="AE51">
        <f>_xlfn.STDEV.P(AD51:$AD$108)</f>
        <v>4.6262314195584728E-2</v>
      </c>
    </row>
    <row r="52" spans="2:31" x14ac:dyDescent="0.2">
      <c r="B52" s="16">
        <v>37681</v>
      </c>
      <c r="C52" s="9">
        <v>440</v>
      </c>
      <c r="D52" s="82">
        <f t="shared" si="0"/>
        <v>-5.3763440860215055E-2</v>
      </c>
      <c r="E52" s="43">
        <f>_xlfn.STDEV.P(D52:$D$108)</f>
        <v>9.0322564549279394E-2</v>
      </c>
      <c r="F52">
        <f t="shared" si="1"/>
        <v>-5.5262678675049415E-2</v>
      </c>
      <c r="G52" s="16">
        <v>37681</v>
      </c>
      <c r="H52" s="9">
        <v>616</v>
      </c>
      <c r="I52" s="82">
        <f t="shared" si="2"/>
        <v>9.8360655737704927E-3</v>
      </c>
      <c r="J52" s="43">
        <f>_xlfn.STDEV.P(I52:$I$109)</f>
        <v>0.13783838564679182</v>
      </c>
      <c r="K52">
        <f t="shared" si="3"/>
        <v>9.7880063661629439E-3</v>
      </c>
      <c r="M52" s="16">
        <v>37681</v>
      </c>
      <c r="N52" s="9">
        <v>350</v>
      </c>
      <c r="O52" s="82">
        <f t="shared" si="7"/>
        <v>-3.3149171270718231E-2</v>
      </c>
      <c r="P52" s="44">
        <f>_xlfn.STDEV.P(O52:$O$109)</f>
        <v>0.14399180717250823</v>
      </c>
      <c r="Q52">
        <f t="shared" si="8"/>
        <v>-3.3711057342311723E-2</v>
      </c>
      <c r="R52" s="16">
        <v>37681</v>
      </c>
      <c r="S52" s="60">
        <v>398</v>
      </c>
      <c r="T52" s="82">
        <f t="shared" si="4"/>
        <v>-5.0000000000000001E-3</v>
      </c>
      <c r="U52" s="44">
        <f>_xlfn.STDEV.P(T52:$T$109)</f>
        <v>0.13820945319219896</v>
      </c>
      <c r="W52" s="16">
        <v>37681</v>
      </c>
      <c r="X52" s="59">
        <v>430</v>
      </c>
      <c r="Y52" s="82">
        <f t="shared" si="5"/>
        <v>-2.0501138952164009E-2</v>
      </c>
      <c r="Z52">
        <f>_xlfn.STDEV.P(Y52:$Y$109)</f>
        <v>0.14524715543769048</v>
      </c>
      <c r="AB52" s="16">
        <v>37681</v>
      </c>
      <c r="AC52" s="59">
        <v>365</v>
      </c>
      <c r="AD52" s="82">
        <f t="shared" si="6"/>
        <v>5.5096418732782371E-3</v>
      </c>
      <c r="AE52">
        <f>_xlfn.STDEV.P(AD52:$AD$108)</f>
        <v>4.6602259704512886E-2</v>
      </c>
    </row>
    <row r="53" spans="2:31" x14ac:dyDescent="0.2">
      <c r="B53" s="16">
        <v>37773</v>
      </c>
      <c r="C53" s="9">
        <v>474</v>
      </c>
      <c r="D53" s="82">
        <f t="shared" si="0"/>
        <v>7.7272727272727271E-2</v>
      </c>
      <c r="E53" s="43">
        <f>_xlfn.STDEV.P(D53:$D$108)</f>
        <v>9.0650961073600711E-2</v>
      </c>
      <c r="F53">
        <f t="shared" si="1"/>
        <v>7.4432594782769548E-2</v>
      </c>
      <c r="G53" s="16">
        <v>37773</v>
      </c>
      <c r="H53" s="9">
        <v>630</v>
      </c>
      <c r="I53" s="82">
        <f t="shared" si="2"/>
        <v>2.2727272727272728E-2</v>
      </c>
      <c r="J53" s="43">
        <f>_xlfn.STDEV.P(I53:$I$109)</f>
        <v>0.13903841099055406</v>
      </c>
      <c r="K53">
        <f t="shared" si="3"/>
        <v>2.2472855852058576E-2</v>
      </c>
      <c r="M53" s="16">
        <v>37773</v>
      </c>
      <c r="N53" s="9">
        <v>345</v>
      </c>
      <c r="O53" s="82">
        <f t="shared" si="7"/>
        <v>-1.4285714285714285E-2</v>
      </c>
      <c r="P53" s="44">
        <f>_xlfn.STDEV.P(O53:$O$109)</f>
        <v>0.14519566479766918</v>
      </c>
      <c r="Q53">
        <f t="shared" si="8"/>
        <v>-1.4388737452099556E-2</v>
      </c>
      <c r="R53" s="16">
        <v>37773</v>
      </c>
      <c r="S53" s="60">
        <v>415</v>
      </c>
      <c r="T53" s="82">
        <f t="shared" si="4"/>
        <v>4.2713567839195977E-2</v>
      </c>
      <c r="U53" s="44">
        <f>_xlfn.STDEV.P(T53:$T$109)</f>
        <v>0.13941650056871766</v>
      </c>
      <c r="W53" s="16">
        <v>37773</v>
      </c>
      <c r="X53" s="59">
        <v>457</v>
      </c>
      <c r="Y53" s="82">
        <f t="shared" si="5"/>
        <v>6.2790697674418611E-2</v>
      </c>
      <c r="Z53">
        <f>_xlfn.STDEV.P(Y53:$Y$109)</f>
        <v>0.14649705584098727</v>
      </c>
      <c r="AB53" s="16">
        <v>37773</v>
      </c>
      <c r="AC53" s="59">
        <v>378</v>
      </c>
      <c r="AD53" s="82">
        <f t="shared" si="6"/>
        <v>3.5616438356164383E-2</v>
      </c>
      <c r="AE53">
        <f>_xlfn.STDEV.P(AD53:$AD$108)</f>
        <v>4.7005249292833957E-2</v>
      </c>
    </row>
    <row r="54" spans="2:31" x14ac:dyDescent="0.2">
      <c r="B54" s="16">
        <v>37865</v>
      </c>
      <c r="C54" s="9">
        <v>514</v>
      </c>
      <c r="D54" s="82">
        <f t="shared" si="0"/>
        <v>8.4388185654008435E-2</v>
      </c>
      <c r="E54" s="43">
        <f>_xlfn.STDEV.P(D54:$D$108)</f>
        <v>9.1095024607920488E-2</v>
      </c>
      <c r="F54">
        <f t="shared" si="1"/>
        <v>8.1015943760088679E-2</v>
      </c>
      <c r="G54" s="16">
        <v>37865</v>
      </c>
      <c r="H54" s="9">
        <v>685</v>
      </c>
      <c r="I54" s="82">
        <f t="shared" si="2"/>
        <v>8.7301587301587297E-2</v>
      </c>
      <c r="J54" s="43">
        <f>_xlfn.STDEV.P(I54:$I$109)</f>
        <v>0.14024644285492868</v>
      </c>
      <c r="K54">
        <f t="shared" si="3"/>
        <v>8.3699018876646838E-2</v>
      </c>
      <c r="M54" s="16">
        <v>37865</v>
      </c>
      <c r="N54" s="9">
        <v>375</v>
      </c>
      <c r="O54" s="82">
        <f t="shared" si="7"/>
        <v>8.6956521739130432E-2</v>
      </c>
      <c r="P54" s="44">
        <f>_xlfn.STDEV.P(O54:$O$109)</f>
        <v>0.1464785028333293</v>
      </c>
      <c r="Q54">
        <f t="shared" si="8"/>
        <v>8.3381608939051E-2</v>
      </c>
      <c r="R54" s="16">
        <v>37865</v>
      </c>
      <c r="S54" s="60">
        <v>423</v>
      </c>
      <c r="T54" s="82">
        <f t="shared" si="4"/>
        <v>1.9277108433734941E-2</v>
      </c>
      <c r="U54" s="44">
        <f>_xlfn.STDEV.P(T54:$T$109)</f>
        <v>0.14051383005526105</v>
      </c>
      <c r="W54" s="16">
        <v>37865</v>
      </c>
      <c r="X54" s="59">
        <v>475</v>
      </c>
      <c r="Y54" s="82">
        <f t="shared" si="5"/>
        <v>3.9387308533916851E-2</v>
      </c>
      <c r="Z54">
        <f>_xlfn.STDEV.P(Y54:$Y$109)</f>
        <v>0.14753536026877734</v>
      </c>
      <c r="AB54" s="16">
        <v>37865</v>
      </c>
      <c r="AC54" s="59">
        <v>380</v>
      </c>
      <c r="AD54" s="82">
        <f t="shared" si="6"/>
        <v>5.2910052910052907E-3</v>
      </c>
      <c r="AE54">
        <f>_xlfn.STDEV.P(AD54:$AD$108)</f>
        <v>4.7333163830773378E-2</v>
      </c>
    </row>
    <row r="55" spans="2:31" x14ac:dyDescent="0.2">
      <c r="B55" s="16">
        <v>37956</v>
      </c>
      <c r="C55" s="9">
        <v>525</v>
      </c>
      <c r="D55" s="82">
        <f t="shared" si="0"/>
        <v>2.1400778210116732E-2</v>
      </c>
      <c r="E55" s="43">
        <f>_xlfn.STDEV.P(D55:$D$108)</f>
        <v>9.1442897728724298E-2</v>
      </c>
      <c r="F55">
        <f t="shared" si="1"/>
        <v>2.1174997136458564E-2</v>
      </c>
      <c r="G55" s="16">
        <v>37956</v>
      </c>
      <c r="H55" s="9">
        <v>680</v>
      </c>
      <c r="I55" s="82">
        <f t="shared" si="2"/>
        <v>-7.2992700729927005E-3</v>
      </c>
      <c r="J55" s="43">
        <f>_xlfn.STDEV.P(I55:$I$109)</f>
        <v>0.14103455738395651</v>
      </c>
      <c r="K55">
        <f t="shared" si="3"/>
        <v>-7.3260400920728977E-3</v>
      </c>
      <c r="M55" s="16">
        <v>37956</v>
      </c>
      <c r="N55" s="9">
        <v>389</v>
      </c>
      <c r="O55" s="82">
        <f t="shared" si="7"/>
        <v>3.7333333333333336E-2</v>
      </c>
      <c r="P55" s="44">
        <f>_xlfn.STDEV.P(O55:$O$109)</f>
        <v>0.14729804844690098</v>
      </c>
      <c r="Q55">
        <f t="shared" si="8"/>
        <v>3.6653317648035581E-2</v>
      </c>
      <c r="R55" s="16">
        <v>37956</v>
      </c>
      <c r="S55" s="60">
        <v>443</v>
      </c>
      <c r="T55" s="82">
        <f t="shared" si="4"/>
        <v>4.7281323877068557E-2</v>
      </c>
      <c r="U55" s="44">
        <f>_xlfn.STDEV.P(T55:$T$109)</f>
        <v>0.14174704438917962</v>
      </c>
      <c r="W55" s="16">
        <v>37956</v>
      </c>
      <c r="X55" s="59">
        <v>505</v>
      </c>
      <c r="Y55" s="82">
        <f t="shared" si="5"/>
        <v>6.3157894736842107E-2</v>
      </c>
      <c r="Z55">
        <f>_xlfn.STDEV.P(Y55:$Y$109)</f>
        <v>0.14875419409405868</v>
      </c>
      <c r="AB55" s="16">
        <v>37956</v>
      </c>
      <c r="AC55" s="59">
        <v>390</v>
      </c>
      <c r="AD55" s="82">
        <f t="shared" si="6"/>
        <v>2.6315789473684209E-2</v>
      </c>
      <c r="AE55">
        <f>_xlfn.STDEV.P(AD55:$AD$108)</f>
        <v>4.7758075945638474E-2</v>
      </c>
    </row>
    <row r="56" spans="2:31" x14ac:dyDescent="0.2">
      <c r="B56" s="16">
        <v>38047</v>
      </c>
      <c r="C56" s="9">
        <v>551</v>
      </c>
      <c r="D56" s="82">
        <f t="shared" si="0"/>
        <v>4.9523809523809526E-2</v>
      </c>
      <c r="E56" s="43">
        <f>_xlfn.STDEV.P(D56:$D$108)</f>
        <v>9.2295776817478262E-2</v>
      </c>
      <c r="F56">
        <f t="shared" si="1"/>
        <v>4.8336546561290744E-2</v>
      </c>
      <c r="G56" s="16">
        <v>38047</v>
      </c>
      <c r="H56" s="9">
        <v>665</v>
      </c>
      <c r="I56" s="82">
        <f t="shared" si="2"/>
        <v>-2.2058823529411766E-2</v>
      </c>
      <c r="J56" s="43">
        <f>_xlfn.STDEV.P(I56:$I$109)</f>
        <v>0.14233086197608658</v>
      </c>
      <c r="K56">
        <f t="shared" si="3"/>
        <v>-2.2305757514298277E-2</v>
      </c>
      <c r="M56" s="16">
        <v>38047</v>
      </c>
      <c r="N56" s="9">
        <v>360</v>
      </c>
      <c r="O56" s="82">
        <f t="shared" si="7"/>
        <v>-7.4550128534704371E-2</v>
      </c>
      <c r="P56" s="44">
        <f>_xlfn.STDEV.P(O56:$O$109)</f>
        <v>0.14854462789329104</v>
      </c>
      <c r="Q56">
        <f t="shared" si="8"/>
        <v>-7.7475312168290567E-2</v>
      </c>
      <c r="R56" s="16">
        <v>38047</v>
      </c>
      <c r="S56" s="60">
        <v>435</v>
      </c>
      <c r="T56" s="82">
        <f t="shared" si="4"/>
        <v>-1.8058690744920992E-2</v>
      </c>
      <c r="U56" s="44">
        <f>_xlfn.STDEV.P(T56:$T$109)</f>
        <v>0.14287024510200116</v>
      </c>
      <c r="W56" s="16">
        <v>38047</v>
      </c>
      <c r="X56" s="59">
        <v>507</v>
      </c>
      <c r="Y56" s="82">
        <f t="shared" si="5"/>
        <v>3.9603960396039604E-3</v>
      </c>
      <c r="Z56">
        <f>_xlfn.STDEV.P(Y56:$Y$109)</f>
        <v>0.14983611434035984</v>
      </c>
      <c r="AB56" s="16">
        <v>38047</v>
      </c>
      <c r="AC56" s="59">
        <v>380</v>
      </c>
      <c r="AD56" s="82">
        <f t="shared" si="6"/>
        <v>-2.564102564102564E-2</v>
      </c>
      <c r="AE56">
        <f>_xlfn.STDEV.P(AD56:$AD$108)</f>
        <v>4.8171217112865865E-2</v>
      </c>
    </row>
    <row r="57" spans="2:31" x14ac:dyDescent="0.2">
      <c r="B57" s="16">
        <v>38139</v>
      </c>
      <c r="C57" s="9">
        <v>450</v>
      </c>
      <c r="D57" s="82">
        <f t="shared" si="0"/>
        <v>-0.18330308529945555</v>
      </c>
      <c r="E57" s="43">
        <f>_xlfn.STDEV.P(D57:$D$108)</f>
        <v>9.3044870490824536E-2</v>
      </c>
      <c r="F57">
        <f t="shared" si="1"/>
        <v>-0.20248722638854899</v>
      </c>
      <c r="G57" s="16">
        <v>38139</v>
      </c>
      <c r="H57" s="9">
        <v>640</v>
      </c>
      <c r="I57" s="82">
        <f t="shared" si="2"/>
        <v>-3.7593984962406013E-2</v>
      </c>
      <c r="J57" s="43">
        <f>_xlfn.STDEV.P(I57:$I$109)</f>
        <v>0.14363421512193064</v>
      </c>
      <c r="K57">
        <f t="shared" si="3"/>
        <v>-3.8318864302136657E-2</v>
      </c>
      <c r="M57" s="16">
        <v>38139</v>
      </c>
      <c r="N57" s="9">
        <v>350</v>
      </c>
      <c r="O57" s="82">
        <f t="shared" si="7"/>
        <v>-2.7777777777777776E-2</v>
      </c>
      <c r="P57" s="44">
        <f>_xlfn.STDEV.P(O57:$O$109)</f>
        <v>0.14963143051572741</v>
      </c>
      <c r="Q57">
        <f t="shared" si="8"/>
        <v>-2.8170876966696335E-2</v>
      </c>
      <c r="R57" s="16">
        <v>38139</v>
      </c>
      <c r="S57" s="60">
        <v>427</v>
      </c>
      <c r="T57" s="82">
        <f t="shared" si="4"/>
        <v>-1.8390804597701149E-2</v>
      </c>
      <c r="U57" s="44">
        <f>_xlfn.STDEV.P(T57:$T$109)</f>
        <v>0.1442027205549111</v>
      </c>
      <c r="W57" s="16">
        <v>38139</v>
      </c>
      <c r="X57" s="59">
        <v>486</v>
      </c>
      <c r="Y57" s="82">
        <f t="shared" si="5"/>
        <v>-4.142011834319527E-2</v>
      </c>
      <c r="Z57">
        <f>_xlfn.STDEV.P(Y57:$Y$109)</f>
        <v>0.15123687066093131</v>
      </c>
      <c r="AB57" s="16">
        <v>38139</v>
      </c>
      <c r="AC57" s="59">
        <v>384</v>
      </c>
      <c r="AD57" s="82">
        <f t="shared" si="6"/>
        <v>1.0526315789473684E-2</v>
      </c>
      <c r="AE57">
        <f>_xlfn.STDEV.P(AD57:$AD$108)</f>
        <v>4.8334093965331726E-2</v>
      </c>
    </row>
    <row r="58" spans="2:31" x14ac:dyDescent="0.2">
      <c r="B58" s="16">
        <v>38231</v>
      </c>
      <c r="C58" s="9">
        <v>492</v>
      </c>
      <c r="D58" s="82">
        <f t="shared" si="0"/>
        <v>9.3333333333333338E-2</v>
      </c>
      <c r="E58" s="43">
        <f>_xlfn.STDEV.P(D58:$D$108)</f>
        <v>8.9753083337032913E-2</v>
      </c>
      <c r="F58">
        <f t="shared" si="1"/>
        <v>8.9231133727942613E-2</v>
      </c>
      <c r="G58" s="16">
        <v>38231</v>
      </c>
      <c r="H58" s="9">
        <v>630</v>
      </c>
      <c r="I58" s="82">
        <f t="shared" si="2"/>
        <v>-1.5625E-2</v>
      </c>
      <c r="J58" s="43">
        <f>_xlfn.STDEV.P(I58:$I$109)</f>
        <v>0.14491007242870138</v>
      </c>
      <c r="K58">
        <f t="shared" si="3"/>
        <v>-1.5748356968139168E-2</v>
      </c>
      <c r="M58" s="16">
        <v>38231</v>
      </c>
      <c r="N58" s="9">
        <v>345</v>
      </c>
      <c r="O58" s="82">
        <f t="shared" si="7"/>
        <v>-1.4285714285714285E-2</v>
      </c>
      <c r="P58" s="44">
        <f>_xlfn.STDEV.P(O58:$O$109)</f>
        <v>0.15102654177199296</v>
      </c>
      <c r="Q58">
        <f t="shared" si="8"/>
        <v>-1.4388737452099556E-2</v>
      </c>
      <c r="R58" s="16">
        <v>38231</v>
      </c>
      <c r="S58" s="60">
        <v>435</v>
      </c>
      <c r="T58" s="82">
        <f t="shared" si="4"/>
        <v>1.873536299765808E-2</v>
      </c>
      <c r="U58" s="44">
        <f>_xlfn.STDEV.P(T58:$T$109)</f>
        <v>0.14557264610147197</v>
      </c>
      <c r="W58" s="16">
        <v>38231</v>
      </c>
      <c r="X58" s="59">
        <v>495</v>
      </c>
      <c r="Y58" s="82">
        <f t="shared" si="5"/>
        <v>1.8518518518518517E-2</v>
      </c>
      <c r="Z58">
        <f>_xlfn.STDEV.P(Y58:$Y$109)</f>
        <v>0.15260401497532597</v>
      </c>
      <c r="AB58" s="16">
        <v>38231</v>
      </c>
      <c r="AC58" s="59">
        <v>383</v>
      </c>
      <c r="AD58" s="82">
        <f t="shared" si="6"/>
        <v>-2.6041666666666665E-3</v>
      </c>
      <c r="AE58">
        <f>_xlfn.STDEV.P(AD58:$AD$108)</f>
        <v>4.8803846231037458E-2</v>
      </c>
    </row>
    <row r="59" spans="2:31" x14ac:dyDescent="0.2">
      <c r="B59" s="16">
        <v>38322</v>
      </c>
      <c r="C59" s="9">
        <v>490</v>
      </c>
      <c r="D59" s="82">
        <f t="shared" si="0"/>
        <v>-4.0650406504065045E-3</v>
      </c>
      <c r="E59" s="43">
        <f>_xlfn.STDEV.P(D59:$D$108)</f>
        <v>8.9987941653771761E-2</v>
      </c>
      <c r="F59">
        <f t="shared" si="1"/>
        <v>-4.0733253876357864E-3</v>
      </c>
      <c r="G59" s="16">
        <v>38322</v>
      </c>
      <c r="H59" s="9">
        <v>630</v>
      </c>
      <c r="I59" s="82">
        <f t="shared" si="2"/>
        <v>0</v>
      </c>
      <c r="J59" s="43">
        <f>_xlfn.STDEV.P(I59:$I$109)</f>
        <v>0.14630419390185256</v>
      </c>
      <c r="K59">
        <f t="shared" si="3"/>
        <v>0</v>
      </c>
      <c r="M59" s="16">
        <v>38322</v>
      </c>
      <c r="N59" s="9">
        <v>350</v>
      </c>
      <c r="O59" s="82">
        <f t="shared" si="7"/>
        <v>1.4492753623188406E-2</v>
      </c>
      <c r="P59" s="44">
        <f>_xlfn.STDEV.P(O59:$O$109)</f>
        <v>0.15249238651448582</v>
      </c>
      <c r="Q59">
        <f t="shared" si="8"/>
        <v>1.4388737452099671E-2</v>
      </c>
      <c r="R59" s="16">
        <v>38322</v>
      </c>
      <c r="S59" s="60">
        <v>449</v>
      </c>
      <c r="T59" s="82">
        <f t="shared" si="4"/>
        <v>3.2183908045977011E-2</v>
      </c>
      <c r="U59" s="44">
        <f>_xlfn.STDEV.P(T59:$T$109)</f>
        <v>0.14695146842365178</v>
      </c>
      <c r="W59" s="16">
        <v>38322</v>
      </c>
      <c r="X59" s="59">
        <v>500</v>
      </c>
      <c r="Y59" s="82">
        <f t="shared" si="5"/>
        <v>1.0101010101010102E-2</v>
      </c>
      <c r="Z59">
        <f>_xlfn.STDEV.P(Y59:$Y$109)</f>
        <v>0.15405571421346315</v>
      </c>
      <c r="AB59" s="16">
        <v>38322</v>
      </c>
      <c r="AC59" s="59">
        <v>395</v>
      </c>
      <c r="AD59" s="82">
        <f t="shared" si="6"/>
        <v>3.1331592689295036E-2</v>
      </c>
      <c r="AE59">
        <f>_xlfn.STDEV.P(AD59:$AD$108)</f>
        <v>4.9235381482909492E-2</v>
      </c>
    </row>
    <row r="60" spans="2:31" x14ac:dyDescent="0.2">
      <c r="B60" s="16">
        <v>38412</v>
      </c>
      <c r="C60" s="9">
        <v>501</v>
      </c>
      <c r="D60" s="82">
        <f t="shared" si="0"/>
        <v>2.2448979591836733E-2</v>
      </c>
      <c r="E60" s="43">
        <f>_xlfn.STDEV.P(D60:$D$108)</f>
        <v>9.0857857815011545E-2</v>
      </c>
      <c r="F60">
        <f t="shared" si="1"/>
        <v>2.2200709980192551E-2</v>
      </c>
      <c r="G60" s="16">
        <v>38412</v>
      </c>
      <c r="H60" s="9">
        <v>635</v>
      </c>
      <c r="I60" s="82">
        <f t="shared" si="2"/>
        <v>7.9365079365079361E-3</v>
      </c>
      <c r="J60" s="43">
        <f>_xlfn.STDEV.P(I60:$I$109)</f>
        <v>0.14775979918273746</v>
      </c>
      <c r="K60">
        <f t="shared" si="3"/>
        <v>7.9051795071132473E-3</v>
      </c>
      <c r="M60" s="16">
        <v>38412</v>
      </c>
      <c r="N60" s="9">
        <v>370</v>
      </c>
      <c r="O60" s="82">
        <f t="shared" si="7"/>
        <v>5.7142857142857141E-2</v>
      </c>
      <c r="P60" s="44">
        <f>_xlfn.STDEV.P(O60:$O$109)</f>
        <v>0.15398880986126143</v>
      </c>
      <c r="Q60">
        <f t="shared" si="8"/>
        <v>5.5569851154810786E-2</v>
      </c>
      <c r="R60" s="16">
        <v>38412</v>
      </c>
      <c r="S60" s="60">
        <v>430</v>
      </c>
      <c r="T60" s="82">
        <f t="shared" si="4"/>
        <v>-4.2316258351893093E-2</v>
      </c>
      <c r="U60" s="44">
        <f>_xlfn.STDEV.P(T60:$T$109)</f>
        <v>0.14831119861701866</v>
      </c>
      <c r="W60" s="16">
        <v>38412</v>
      </c>
      <c r="X60" s="59">
        <v>477</v>
      </c>
      <c r="Y60" s="82">
        <f t="shared" si="5"/>
        <v>-4.5999999999999999E-2</v>
      </c>
      <c r="Z60">
        <f>_xlfn.STDEV.P(Y60:$Y$109)</f>
        <v>0.15557189720838602</v>
      </c>
      <c r="AB60" s="16">
        <v>38412</v>
      </c>
      <c r="AC60" s="59">
        <v>390</v>
      </c>
      <c r="AD60" s="82">
        <f t="shared" si="6"/>
        <v>-1.2658227848101266E-2</v>
      </c>
      <c r="AE60">
        <f>_xlfn.STDEV.P(AD60:$AD$108)</f>
        <v>4.9671454697179263E-2</v>
      </c>
    </row>
    <row r="61" spans="2:31" x14ac:dyDescent="0.2">
      <c r="B61" s="16">
        <v>38504</v>
      </c>
      <c r="C61" s="9">
        <v>495</v>
      </c>
      <c r="D61" s="82">
        <f t="shared" si="0"/>
        <v>-1.1976047904191617E-2</v>
      </c>
      <c r="E61" s="43">
        <f>_xlfn.STDEV.P(D61:$D$108)</f>
        <v>9.1794387965929508E-2</v>
      </c>
      <c r="F61">
        <f t="shared" si="1"/>
        <v>-1.204833851617448E-2</v>
      </c>
      <c r="G61" s="16">
        <v>38504</v>
      </c>
      <c r="H61" s="9">
        <v>629</v>
      </c>
      <c r="I61" s="82">
        <f t="shared" si="2"/>
        <v>-9.4488188976377951E-3</v>
      </c>
      <c r="J61" s="43">
        <f>_xlfn.STDEV.P(I61:$I$109)</f>
        <v>0.14925723134908128</v>
      </c>
      <c r="K61">
        <f t="shared" si="3"/>
        <v>-9.4937421922511502E-3</v>
      </c>
      <c r="M61" s="16">
        <v>38504</v>
      </c>
      <c r="N61" s="9">
        <v>350</v>
      </c>
      <c r="O61" s="82">
        <f t="shared" si="7"/>
        <v>-5.4054054054054057E-2</v>
      </c>
      <c r="P61" s="44">
        <f>_xlfn.STDEV.P(O61:$O$109)</f>
        <v>0.15530461747185195</v>
      </c>
      <c r="Q61">
        <f t="shared" si="8"/>
        <v>-5.5569851154810765E-2</v>
      </c>
      <c r="R61" s="16">
        <v>38504</v>
      </c>
      <c r="S61" s="60">
        <v>435</v>
      </c>
      <c r="T61" s="82">
        <f t="shared" si="4"/>
        <v>1.1627906976744186E-2</v>
      </c>
      <c r="U61" s="44">
        <f>_xlfn.STDEV.P(T61:$T$109)</f>
        <v>0.14973121689281338</v>
      </c>
      <c r="W61" s="16">
        <v>38504</v>
      </c>
      <c r="X61" s="59">
        <v>490</v>
      </c>
      <c r="Y61" s="82">
        <f t="shared" si="5"/>
        <v>2.7253668763102725E-2</v>
      </c>
      <c r="Z61">
        <f>_xlfn.STDEV.P(Y61:$Y$109)</f>
        <v>0.15704636684635093</v>
      </c>
      <c r="AB61" s="16">
        <v>38504</v>
      </c>
      <c r="AC61" s="59">
        <v>395</v>
      </c>
      <c r="AD61" s="82">
        <f t="shared" si="6"/>
        <v>1.282051282051282E-2</v>
      </c>
      <c r="AE61">
        <f>_xlfn.STDEV.P(AD61:$AD$108)</f>
        <v>5.0040724347703777E-2</v>
      </c>
    </row>
    <row r="62" spans="2:31" x14ac:dyDescent="0.2">
      <c r="B62" s="16">
        <v>38596</v>
      </c>
      <c r="C62" s="9">
        <v>480</v>
      </c>
      <c r="D62" s="82">
        <f t="shared" si="0"/>
        <v>-3.0303030303030304E-2</v>
      </c>
      <c r="E62" s="43">
        <f>_xlfn.STDEV.P(D62:$D$108)</f>
        <v>9.2675875937289293E-2</v>
      </c>
      <c r="F62">
        <f t="shared" si="1"/>
        <v>-3.077165866675366E-2</v>
      </c>
      <c r="G62" s="16">
        <v>38596</v>
      </c>
      <c r="H62" s="9">
        <v>607</v>
      </c>
      <c r="I62" s="82">
        <f t="shared" si="2"/>
        <v>-3.4976152623211444E-2</v>
      </c>
      <c r="J62" s="43">
        <f>_xlfn.STDEV.P(I62:$I$109)</f>
        <v>0.15079540026591248</v>
      </c>
      <c r="K62">
        <f t="shared" si="3"/>
        <v>-3.5602465640942223E-2</v>
      </c>
      <c r="M62" s="16">
        <v>38596</v>
      </c>
      <c r="N62" s="9">
        <v>370</v>
      </c>
      <c r="O62" s="82">
        <f t="shared" si="7"/>
        <v>5.7142857142857141E-2</v>
      </c>
      <c r="P62" s="44">
        <f>_xlfn.STDEV.P(O62:$O$109)</f>
        <v>0.1567501412136367</v>
      </c>
      <c r="Q62">
        <f t="shared" si="8"/>
        <v>5.5569851154810786E-2</v>
      </c>
      <c r="R62" s="16">
        <v>38596</v>
      </c>
      <c r="S62" s="60">
        <v>425</v>
      </c>
      <c r="T62" s="82">
        <f t="shared" si="4"/>
        <v>-2.2988505747126436E-2</v>
      </c>
      <c r="U62" s="44">
        <f>_xlfn.STDEV.P(T62:$T$109)</f>
        <v>0.15125981308805578</v>
      </c>
      <c r="W62" s="16">
        <v>38596</v>
      </c>
      <c r="X62" s="59">
        <v>477</v>
      </c>
      <c r="Y62" s="82">
        <f t="shared" si="5"/>
        <v>-2.6530612244897958E-2</v>
      </c>
      <c r="Z62">
        <f>_xlfn.STDEV.P(Y62:$Y$109)</f>
        <v>0.15860240851704585</v>
      </c>
      <c r="AB62" s="16">
        <v>38596</v>
      </c>
      <c r="AC62" s="59">
        <v>385</v>
      </c>
      <c r="AD62" s="82">
        <f t="shared" si="6"/>
        <v>-2.5316455696202531E-2</v>
      </c>
      <c r="AE62">
        <f>_xlfn.STDEV.P(AD62:$AD$108)</f>
        <v>5.0569934720331645E-2</v>
      </c>
    </row>
    <row r="63" spans="2:31" x14ac:dyDescent="0.2">
      <c r="B63" s="16">
        <v>38687</v>
      </c>
      <c r="C63" s="9">
        <v>510</v>
      </c>
      <c r="D63" s="82">
        <f t="shared" si="0"/>
        <v>6.25E-2</v>
      </c>
      <c r="E63" s="43">
        <f>_xlfn.STDEV.P(D63:$D$108)</f>
        <v>9.341982319512307E-2</v>
      </c>
      <c r="F63">
        <f t="shared" si="1"/>
        <v>6.062462181643484E-2</v>
      </c>
      <c r="G63" s="16">
        <v>38687</v>
      </c>
      <c r="H63" s="9">
        <v>620</v>
      </c>
      <c r="I63" s="82">
        <f t="shared" si="2"/>
        <v>2.1416803953871501E-2</v>
      </c>
      <c r="J63" s="43">
        <f>_xlfn.STDEV.P(I63:$I$109)</f>
        <v>0.15229464867158221</v>
      </c>
      <c r="K63">
        <f t="shared" si="3"/>
        <v>2.1190686979639054E-2</v>
      </c>
      <c r="M63" s="16">
        <v>38687</v>
      </c>
      <c r="N63" s="9">
        <v>375</v>
      </c>
      <c r="O63" s="82">
        <f t="shared" si="7"/>
        <v>1.3513513513513514E-2</v>
      </c>
      <c r="P63" s="44">
        <f>_xlfn.STDEV.P(O63:$O$109)</f>
        <v>0.15815344084435382</v>
      </c>
      <c r="Q63">
        <f t="shared" si="8"/>
        <v>1.3423020332140771E-2</v>
      </c>
      <c r="R63" s="16">
        <v>38687</v>
      </c>
      <c r="S63" s="60">
        <v>433</v>
      </c>
      <c r="T63" s="82">
        <f t="shared" si="4"/>
        <v>1.8823529411764704E-2</v>
      </c>
      <c r="U63" s="44">
        <f>_xlfn.STDEV.P(T63:$T$109)</f>
        <v>0.15284200768995596</v>
      </c>
      <c r="W63" s="16">
        <v>38687</v>
      </c>
      <c r="X63" s="59">
        <v>488</v>
      </c>
      <c r="Y63" s="82">
        <f t="shared" si="5"/>
        <v>2.3060796645702306E-2</v>
      </c>
      <c r="Z63">
        <f>_xlfn.STDEV.P(Y63:$Y$109)</f>
        <v>0.16025240566665139</v>
      </c>
      <c r="AB63" s="16">
        <v>38687</v>
      </c>
      <c r="AC63" s="59">
        <v>385</v>
      </c>
      <c r="AD63" s="82">
        <f t="shared" si="6"/>
        <v>0</v>
      </c>
      <c r="AE63">
        <f>_xlfn.STDEV.P(AD63:$AD$108)</f>
        <v>5.0778020067894072E-2</v>
      </c>
    </row>
    <row r="64" spans="2:31" x14ac:dyDescent="0.2">
      <c r="B64" s="16">
        <v>38777</v>
      </c>
      <c r="C64" s="9">
        <v>515</v>
      </c>
      <c r="D64" s="82">
        <f t="shared" si="0"/>
        <v>9.8039215686274508E-3</v>
      </c>
      <c r="E64" s="43">
        <f>_xlfn.STDEV.P(D64:$D$108)</f>
        <v>9.4206410187469183E-2</v>
      </c>
      <c r="F64">
        <f t="shared" si="1"/>
        <v>9.7561749453646558E-3</v>
      </c>
      <c r="G64" s="16">
        <v>38777</v>
      </c>
      <c r="H64" s="9">
        <v>615</v>
      </c>
      <c r="I64" s="82">
        <f t="shared" si="2"/>
        <v>-8.0645161290322578E-3</v>
      </c>
      <c r="J64" s="43">
        <f>_xlfn.STDEV.P(I64:$I$109)</f>
        <v>0.15391556276238322</v>
      </c>
      <c r="K64">
        <f t="shared" si="3"/>
        <v>-8.0972102326193618E-3</v>
      </c>
      <c r="M64" s="16">
        <v>38777</v>
      </c>
      <c r="N64" s="9">
        <v>395</v>
      </c>
      <c r="O64" s="82">
        <f t="shared" si="7"/>
        <v>5.3333333333333337E-2</v>
      </c>
      <c r="P64" s="44">
        <f>_xlfn.STDEV.P(O64:$O$109)</f>
        <v>0.1598390239236655</v>
      </c>
      <c r="Q64">
        <f t="shared" si="8"/>
        <v>5.1959738930710958E-2</v>
      </c>
      <c r="R64" s="16">
        <v>38777</v>
      </c>
      <c r="S64" s="60">
        <v>420</v>
      </c>
      <c r="T64" s="82">
        <f t="shared" si="4"/>
        <v>-3.0023094688221709E-2</v>
      </c>
      <c r="U64" s="44">
        <f>_xlfn.STDEV.P(T64:$T$109)</f>
        <v>0.15444822353782284</v>
      </c>
      <c r="W64" s="16">
        <v>38777</v>
      </c>
      <c r="X64" s="59">
        <v>460</v>
      </c>
      <c r="Y64" s="82">
        <f t="shared" si="5"/>
        <v>-5.737704918032787E-2</v>
      </c>
      <c r="Z64">
        <f>_xlfn.STDEV.P(Y64:$Y$109)</f>
        <v>0.16192845247253115</v>
      </c>
      <c r="AB64" s="16">
        <v>38777</v>
      </c>
      <c r="AC64" s="59">
        <v>380</v>
      </c>
      <c r="AD64" s="82">
        <f t="shared" si="6"/>
        <v>-1.2987012987012988E-2</v>
      </c>
      <c r="AE64">
        <f>_xlfn.STDEV.P(AD64:$AD$108)</f>
        <v>5.1289621718746528E-2</v>
      </c>
    </row>
    <row r="65" spans="2:31" x14ac:dyDescent="0.2">
      <c r="B65" s="16">
        <v>38869</v>
      </c>
      <c r="C65" s="9">
        <v>520</v>
      </c>
      <c r="D65" s="82">
        <f t="shared" si="0"/>
        <v>9.7087378640776691E-3</v>
      </c>
      <c r="E65" s="43">
        <f>_xlfn.STDEV.P(D65:$D$108)</f>
        <v>9.5265738876281258E-2</v>
      </c>
      <c r="F65">
        <f t="shared" si="1"/>
        <v>9.6619109117368901E-3</v>
      </c>
      <c r="G65" s="16">
        <v>38869</v>
      </c>
      <c r="H65" s="9">
        <v>657</v>
      </c>
      <c r="I65" s="82">
        <f t="shared" si="2"/>
        <v>6.8292682926829273E-2</v>
      </c>
      <c r="J65" s="43">
        <f>_xlfn.STDEV.P(I65:$I$109)</f>
        <v>0.15560867140750279</v>
      </c>
      <c r="K65">
        <f t="shared" si="3"/>
        <v>6.6061750678092696E-2</v>
      </c>
      <c r="M65" s="16">
        <v>38869</v>
      </c>
      <c r="N65" s="9">
        <v>386</v>
      </c>
      <c r="O65" s="82">
        <f t="shared" si="7"/>
        <v>-2.2784810126582278E-2</v>
      </c>
      <c r="P65" s="44">
        <f>_xlfn.STDEV.P(O65:$O$109)</f>
        <v>0.16136122816456672</v>
      </c>
      <c r="Q65">
        <f t="shared" si="8"/>
        <v>-2.3048395436291017E-2</v>
      </c>
      <c r="R65" s="16">
        <v>38869</v>
      </c>
      <c r="S65" s="60">
        <v>436</v>
      </c>
      <c r="T65" s="82">
        <f t="shared" si="4"/>
        <v>3.8095238095238099E-2</v>
      </c>
      <c r="U65" s="44">
        <f>_xlfn.STDEV.P(T65:$T$109)</f>
        <v>0.15611656348506212</v>
      </c>
      <c r="W65" s="16">
        <v>38869</v>
      </c>
      <c r="X65" s="59">
        <v>485</v>
      </c>
      <c r="Y65" s="82">
        <f t="shared" si="5"/>
        <v>5.434782608695652E-2</v>
      </c>
      <c r="Z65">
        <f>_xlfn.STDEV.P(Y65:$Y$109)</f>
        <v>0.16353637927279532</v>
      </c>
      <c r="AB65" s="16">
        <v>38869</v>
      </c>
      <c r="AC65" s="59">
        <v>391</v>
      </c>
      <c r="AD65" s="82">
        <f t="shared" si="6"/>
        <v>2.8947368421052631E-2</v>
      </c>
      <c r="AE65">
        <f>_xlfn.STDEV.P(AD65:$AD$108)</f>
        <v>5.1689759887082055E-2</v>
      </c>
    </row>
    <row r="66" spans="2:31" x14ac:dyDescent="0.2">
      <c r="B66" s="16">
        <v>38961</v>
      </c>
      <c r="C66" s="9">
        <v>469</v>
      </c>
      <c r="D66" s="82">
        <f t="shared" si="0"/>
        <v>-9.8076923076923075E-2</v>
      </c>
      <c r="E66" s="43">
        <f>_xlfn.STDEV.P(D66:$D$108)</f>
        <v>9.6361467180378205E-2</v>
      </c>
      <c r="F66">
        <f t="shared" si="1"/>
        <v>-0.10322604312919366</v>
      </c>
      <c r="G66" s="16">
        <v>38961</v>
      </c>
      <c r="H66" s="9">
        <v>636</v>
      </c>
      <c r="I66" s="82">
        <f t="shared" si="2"/>
        <v>-3.1963470319634701E-2</v>
      </c>
      <c r="J66" s="43">
        <f>_xlfn.STDEV.P(I66:$I$109)</f>
        <v>0.15704615782221418</v>
      </c>
      <c r="K66">
        <f t="shared" si="3"/>
        <v>-3.2485455144488425E-2</v>
      </c>
      <c r="M66" s="16">
        <v>38961</v>
      </c>
      <c r="N66" s="9">
        <v>339</v>
      </c>
      <c r="O66" s="82">
        <f t="shared" si="7"/>
        <v>-0.12176165803108809</v>
      </c>
      <c r="P66" s="44">
        <f>_xlfn.STDEV.P(O66:$O$109)</f>
        <v>0.16316655468613614</v>
      </c>
      <c r="Q66">
        <f t="shared" si="8"/>
        <v>-0.12983726208438059</v>
      </c>
      <c r="R66" s="16">
        <v>38961</v>
      </c>
      <c r="S66" s="60">
        <v>420</v>
      </c>
      <c r="T66" s="82">
        <f t="shared" si="4"/>
        <v>-3.669724770642202E-2</v>
      </c>
      <c r="U66" s="44">
        <f>_xlfn.STDEV.P(T66:$T$109)</f>
        <v>0.15773378568055874</v>
      </c>
      <c r="W66" s="16">
        <v>38961</v>
      </c>
      <c r="X66" s="59">
        <v>472</v>
      </c>
      <c r="Y66" s="82">
        <f t="shared" si="5"/>
        <v>-2.6804123711340205E-2</v>
      </c>
      <c r="Z66">
        <f>_xlfn.STDEV.P(Y66:$Y$109)</f>
        <v>0.16513559364251351</v>
      </c>
      <c r="AB66" s="16">
        <v>38961</v>
      </c>
      <c r="AC66" s="59">
        <v>380</v>
      </c>
      <c r="AD66" s="82">
        <f t="shared" si="6"/>
        <v>-2.8132992327365727E-2</v>
      </c>
      <c r="AE66">
        <f>_xlfn.STDEV.P(AD66:$AD$108)</f>
        <v>5.2248769938797082E-2</v>
      </c>
    </row>
    <row r="67" spans="2:31" x14ac:dyDescent="0.2">
      <c r="B67" s="16">
        <v>39052</v>
      </c>
      <c r="C67" s="9">
        <v>545</v>
      </c>
      <c r="D67" s="82">
        <f t="shared" si="0"/>
        <v>0.16204690831556504</v>
      </c>
      <c r="E67" s="43">
        <f>_xlfn.STDEV.P(D67:$D$108)</f>
        <v>9.5843041711076105E-2</v>
      </c>
      <c r="F67">
        <f t="shared" si="1"/>
        <v>0.15018302621696478</v>
      </c>
      <c r="G67" s="16">
        <v>39052</v>
      </c>
      <c r="H67" s="9">
        <v>660</v>
      </c>
      <c r="I67" s="82">
        <f t="shared" si="2"/>
        <v>3.7735849056603772E-2</v>
      </c>
      <c r="J67" s="43">
        <f>_xlfn.STDEV.P(I67:$I$109)</f>
        <v>0.1587807949231192</v>
      </c>
      <c r="K67">
        <f t="shared" si="3"/>
        <v>3.7041271680349076E-2</v>
      </c>
      <c r="M67" s="16">
        <v>39052</v>
      </c>
      <c r="N67" s="9">
        <v>375</v>
      </c>
      <c r="O67" s="82">
        <f t="shared" si="7"/>
        <v>0.10619469026548672</v>
      </c>
      <c r="P67" s="44">
        <f>_xlfn.STDEV.P(O67:$O$109)</f>
        <v>0.16409270543793134</v>
      </c>
      <c r="Q67">
        <f t="shared" si="8"/>
        <v>0.1009259185899605</v>
      </c>
      <c r="R67" s="16">
        <v>39052</v>
      </c>
      <c r="S67" s="60">
        <v>442</v>
      </c>
      <c r="T67" s="82">
        <f t="shared" si="4"/>
        <v>5.2380952380952382E-2</v>
      </c>
      <c r="U67" s="44">
        <f>_xlfn.STDEV.P(T67:$T$109)</f>
        <v>0.15949410510262993</v>
      </c>
      <c r="W67" s="16">
        <v>39052</v>
      </c>
      <c r="X67" s="59">
        <v>493</v>
      </c>
      <c r="Y67" s="82">
        <f t="shared" si="5"/>
        <v>4.4491525423728813E-2</v>
      </c>
      <c r="Z67">
        <f>_xlfn.STDEV.P(Y67:$Y$109)</f>
        <v>0.16701529470842266</v>
      </c>
      <c r="AB67" s="16">
        <v>39052</v>
      </c>
      <c r="AC67" s="59">
        <v>398</v>
      </c>
      <c r="AD67" s="82">
        <f t="shared" si="6"/>
        <v>4.736842105263158E-2</v>
      </c>
      <c r="AE67">
        <f>_xlfn.STDEV.P(AD67:$AD$108)</f>
        <v>5.2423796289972353E-2</v>
      </c>
    </row>
    <row r="68" spans="2:31" x14ac:dyDescent="0.2">
      <c r="B68" s="16">
        <v>39142</v>
      </c>
      <c r="C68" s="9">
        <v>475</v>
      </c>
      <c r="D68" s="82">
        <f t="shared" si="0"/>
        <v>-0.12844036697247707</v>
      </c>
      <c r="E68" s="43">
        <f>_xlfn.STDEV.P(D68:$D$108)</f>
        <v>9.4346407250935529E-2</v>
      </c>
      <c r="F68">
        <f t="shared" si="1"/>
        <v>-0.13747099062860288</v>
      </c>
      <c r="G68" s="16">
        <v>39142</v>
      </c>
      <c r="H68" s="9">
        <v>655</v>
      </c>
      <c r="I68" s="82">
        <f t="shared" si="2"/>
        <v>-7.575757575757576E-3</v>
      </c>
      <c r="J68" s="43">
        <f>_xlfn.STDEV.P(I68:$I$109)</f>
        <v>0.16056126808699947</v>
      </c>
      <c r="K68">
        <f t="shared" si="3"/>
        <v>-7.6045993852193036E-3</v>
      </c>
      <c r="M68" s="16">
        <v>39142</v>
      </c>
      <c r="N68" s="9">
        <v>350</v>
      </c>
      <c r="O68" s="82">
        <f t="shared" si="7"/>
        <v>-6.6666666666666666E-2</v>
      </c>
      <c r="P68" s="44">
        <f>_xlfn.STDEV.P(O68:$O$109)</f>
        <v>0.16514357876673699</v>
      </c>
      <c r="Q68">
        <f t="shared" si="8"/>
        <v>-6.8992871486951435E-2</v>
      </c>
      <c r="R68" s="16">
        <v>39142</v>
      </c>
      <c r="S68" s="60">
        <v>425</v>
      </c>
      <c r="T68" s="82">
        <f t="shared" si="4"/>
        <v>-3.8461538461538464E-2</v>
      </c>
      <c r="U68" s="44">
        <f>_xlfn.STDEV.P(T68:$T$109)</f>
        <v>0.16111606046026994</v>
      </c>
      <c r="W68" s="16">
        <v>39142</v>
      </c>
      <c r="X68" s="59">
        <v>472</v>
      </c>
      <c r="Y68" s="82">
        <f t="shared" si="5"/>
        <v>-4.2596348884381338E-2</v>
      </c>
      <c r="Z68">
        <f>_xlfn.STDEV.P(Y68:$Y$109)</f>
        <v>0.16880790227086517</v>
      </c>
      <c r="AB68" s="16">
        <v>39142</v>
      </c>
      <c r="AC68" s="59">
        <v>380</v>
      </c>
      <c r="AD68" s="82">
        <f t="shared" si="6"/>
        <v>-4.5226130653266333E-2</v>
      </c>
      <c r="AE68">
        <f>_xlfn.STDEV.P(AD68:$AD$108)</f>
        <v>5.283688618291324E-2</v>
      </c>
    </row>
    <row r="69" spans="2:31" x14ac:dyDescent="0.2">
      <c r="B69" s="16">
        <v>39234</v>
      </c>
      <c r="C69" s="9">
        <v>501</v>
      </c>
      <c r="D69" s="82">
        <f t="shared" si="0"/>
        <v>5.473684210526316E-2</v>
      </c>
      <c r="E69" s="43">
        <f>_xlfn.STDEV.P(D69:$D$108)</f>
        <v>9.2682545991648602E-2</v>
      </c>
      <c r="F69">
        <f t="shared" si="1"/>
        <v>5.3291297050223625E-2</v>
      </c>
      <c r="G69" s="16">
        <v>39234</v>
      </c>
      <c r="H69" s="9">
        <v>680</v>
      </c>
      <c r="I69" s="82">
        <f t="shared" si="2"/>
        <v>3.8167938931297711E-2</v>
      </c>
      <c r="J69" s="43">
        <f>_xlfn.STDEV.P(I69:$I$109)</f>
        <v>0.1625021156246711</v>
      </c>
      <c r="K69">
        <f t="shared" si="3"/>
        <v>3.7457562534900415E-2</v>
      </c>
      <c r="M69" s="16">
        <v>39234</v>
      </c>
      <c r="N69" s="9">
        <v>400</v>
      </c>
      <c r="O69" s="82">
        <f t="shared" si="7"/>
        <v>0.14285714285714285</v>
      </c>
      <c r="P69" s="44">
        <f>_xlfn.STDEV.P(O69:$O$109)</f>
        <v>0.16687421137182362</v>
      </c>
      <c r="Q69">
        <f t="shared" si="8"/>
        <v>0.13353139262452257</v>
      </c>
      <c r="R69" s="16">
        <v>39234</v>
      </c>
      <c r="S69" s="60">
        <v>450</v>
      </c>
      <c r="T69" s="82">
        <f t="shared" si="4"/>
        <v>5.8823529411764705E-2</v>
      </c>
      <c r="U69" s="44">
        <f>_xlfn.STDEV.P(T69:$T$109)</f>
        <v>0.16299939208373718</v>
      </c>
      <c r="W69" s="16">
        <v>39234</v>
      </c>
      <c r="X69" s="59">
        <v>500</v>
      </c>
      <c r="Y69" s="82">
        <f t="shared" si="5"/>
        <v>5.9322033898305086E-2</v>
      </c>
      <c r="Z69">
        <f>_xlfn.STDEV.P(Y69:$Y$109)</f>
        <v>0.17076251252400237</v>
      </c>
      <c r="AB69" s="16">
        <v>39234</v>
      </c>
      <c r="AC69" s="59">
        <v>400</v>
      </c>
      <c r="AD69" s="82">
        <f t="shared" si="6"/>
        <v>5.2631578947368418E-2</v>
      </c>
      <c r="AE69">
        <f>_xlfn.STDEV.P(AD69:$AD$108)</f>
        <v>5.25901470516374E-2</v>
      </c>
    </row>
    <row r="70" spans="2:31" x14ac:dyDescent="0.2">
      <c r="B70" s="16">
        <v>39326</v>
      </c>
      <c r="C70" s="9">
        <v>523</v>
      </c>
      <c r="D70" s="82">
        <f t="shared" ref="D70:D109" si="9">((C70-C69)/C69)</f>
        <v>4.3912175648702596E-2</v>
      </c>
      <c r="E70" s="43">
        <f>_xlfn.STDEV.P(D70:$D$108)</f>
        <v>9.3689035358575659E-2</v>
      </c>
      <c r="F70">
        <f t="shared" ref="F70:F109" si="10">LN(1+D70)</f>
        <v>4.2975362980058149E-2</v>
      </c>
      <c r="G70" s="16">
        <v>39326</v>
      </c>
      <c r="H70" s="9">
        <v>695</v>
      </c>
      <c r="I70" s="82">
        <f t="shared" ref="I70:I109" si="11">((H70-H69)/H69)</f>
        <v>2.2058823529411766E-2</v>
      </c>
      <c r="J70" s="43">
        <f>_xlfn.STDEV.P(I70:$I$109)</f>
        <v>0.16441338524105695</v>
      </c>
      <c r="K70">
        <f t="shared" ref="K70:K109" si="12">LN(1+I70)</f>
        <v>2.1819047394639673E-2</v>
      </c>
      <c r="M70" s="16">
        <v>39326</v>
      </c>
      <c r="N70" s="9">
        <v>400</v>
      </c>
      <c r="O70" s="82">
        <f t="shared" si="7"/>
        <v>0</v>
      </c>
      <c r="P70" s="44">
        <f>_xlfn.STDEV.P(O70:$O$109)</f>
        <v>0.16728140061109942</v>
      </c>
      <c r="Q70">
        <f t="shared" si="8"/>
        <v>0</v>
      </c>
      <c r="R70" s="16">
        <v>39326</v>
      </c>
      <c r="S70" s="60">
        <v>445</v>
      </c>
      <c r="T70" s="82">
        <f t="shared" ref="T70:T109" si="13">((S70-S69)/S69)</f>
        <v>-1.1111111111111112E-2</v>
      </c>
      <c r="U70" s="44">
        <f>_xlfn.STDEV.P(T70:$T$109)</f>
        <v>0.16468165917015309</v>
      </c>
      <c r="W70" s="16">
        <v>39326</v>
      </c>
      <c r="X70" s="59">
        <v>501</v>
      </c>
      <c r="Y70" s="82">
        <f t="shared" ref="Y70:Y109" si="14">((X70-X69)/X69)</f>
        <v>2E-3</v>
      </c>
      <c r="Z70">
        <f>_xlfn.STDEV.P(Y70:$Y$109)</f>
        <v>0.17256405000463462</v>
      </c>
      <c r="AB70" s="16">
        <v>39326</v>
      </c>
      <c r="AC70" s="59">
        <v>400</v>
      </c>
      <c r="AD70" s="82">
        <f t="shared" ref="AD70:AD109" si="15">((AC70-AC69)/AC69)</f>
        <v>0</v>
      </c>
      <c r="AE70">
        <f>_xlfn.STDEV.P(AD70:$AD$108)</f>
        <v>5.2953614586698054E-2</v>
      </c>
    </row>
    <row r="71" spans="2:31" x14ac:dyDescent="0.2">
      <c r="B71" s="16">
        <v>39417</v>
      </c>
      <c r="C71" s="9">
        <v>490</v>
      </c>
      <c r="D71" s="82">
        <f t="shared" si="9"/>
        <v>-6.3097514340344163E-2</v>
      </c>
      <c r="E71" s="43">
        <f>_xlfn.STDEV.P(D71:$D$108)</f>
        <v>9.4822458574697441E-2</v>
      </c>
      <c r="F71">
        <f t="shared" si="10"/>
        <v>-6.5176072960250603E-2</v>
      </c>
      <c r="G71" s="16">
        <v>39417</v>
      </c>
      <c r="H71" s="9">
        <v>735</v>
      </c>
      <c r="I71" s="82">
        <f t="shared" si="11"/>
        <v>5.7553956834532377E-2</v>
      </c>
      <c r="J71" s="43">
        <f>_xlfn.STDEV.P(I71:$I$109)</f>
        <v>0.16646981660899385</v>
      </c>
      <c r="K71">
        <f t="shared" si="12"/>
        <v>5.5958653648044629E-2</v>
      </c>
      <c r="M71" s="16">
        <v>39417</v>
      </c>
      <c r="N71" s="9">
        <v>400</v>
      </c>
      <c r="O71" s="82">
        <f t="shared" si="7"/>
        <v>0</v>
      </c>
      <c r="P71" s="44">
        <f>_xlfn.STDEV.P(O71:$O$109)</f>
        <v>0.16940660729123</v>
      </c>
      <c r="Q71">
        <f t="shared" si="8"/>
        <v>0</v>
      </c>
      <c r="R71" s="16">
        <v>39417</v>
      </c>
      <c r="S71" s="60">
        <v>465</v>
      </c>
      <c r="T71" s="82">
        <f t="shared" si="13"/>
        <v>4.49438202247191E-2</v>
      </c>
      <c r="U71" s="44">
        <f>_xlfn.STDEV.P(T71:$T$109)</f>
        <v>0.16677932161713344</v>
      </c>
      <c r="W71" s="16">
        <v>39417</v>
      </c>
      <c r="X71" s="59">
        <v>530</v>
      </c>
      <c r="Y71" s="82">
        <f t="shared" si="14"/>
        <v>5.7884231536926151E-2</v>
      </c>
      <c r="Z71">
        <f>_xlfn.STDEV.P(Y71:$Y$109)</f>
        <v>0.17475491122135331</v>
      </c>
      <c r="AB71" s="16">
        <v>39417</v>
      </c>
      <c r="AC71" s="59">
        <v>415</v>
      </c>
      <c r="AD71" s="82">
        <f t="shared" si="15"/>
        <v>3.7499999999999999E-2</v>
      </c>
      <c r="AE71">
        <f>_xlfn.STDEV.P(AD71:$AD$108)</f>
        <v>5.3576888339875159E-2</v>
      </c>
    </row>
    <row r="72" spans="2:31" x14ac:dyDescent="0.2">
      <c r="B72" s="16">
        <v>39508</v>
      </c>
      <c r="C72" s="9">
        <v>465</v>
      </c>
      <c r="D72" s="82">
        <f t="shared" si="9"/>
        <v>-5.1020408163265307E-2</v>
      </c>
      <c r="E72" s="43">
        <f>_xlfn.STDEV.P(D72:$D$108)</f>
        <v>9.5142657339972139E-2</v>
      </c>
      <c r="F72">
        <f t="shared" si="10"/>
        <v>-5.2367985517315925E-2</v>
      </c>
      <c r="G72" s="16">
        <v>39508</v>
      </c>
      <c r="H72" s="9">
        <v>729</v>
      </c>
      <c r="I72" s="82">
        <f t="shared" si="11"/>
        <v>-8.1632653061224497E-3</v>
      </c>
      <c r="J72" s="43">
        <f>_xlfn.STDEV.P(I72:$I$109)</f>
        <v>0.16837622078972131</v>
      </c>
      <c r="K72">
        <f t="shared" si="12"/>
        <v>-8.196767204178515E-3</v>
      </c>
      <c r="M72" s="16">
        <v>39508</v>
      </c>
      <c r="N72" s="9">
        <v>389</v>
      </c>
      <c r="O72" s="82">
        <f t="shared" si="7"/>
        <v>-2.75E-2</v>
      </c>
      <c r="P72" s="44">
        <f>_xlfn.STDEV.P(O72:$O$109)</f>
        <v>0.17161492547003981</v>
      </c>
      <c r="Q72">
        <f t="shared" si="8"/>
        <v>-2.7885203489535663E-2</v>
      </c>
      <c r="R72" s="16">
        <v>39508</v>
      </c>
      <c r="S72" s="60">
        <v>435</v>
      </c>
      <c r="T72" s="82">
        <f t="shared" si="13"/>
        <v>-6.4516129032258063E-2</v>
      </c>
      <c r="U72" s="44">
        <f>_xlfn.STDEV.P(T72:$T$109)</f>
        <v>0.16872518597962005</v>
      </c>
      <c r="W72" s="16">
        <v>39508</v>
      </c>
      <c r="X72" s="59">
        <v>485</v>
      </c>
      <c r="Y72" s="82">
        <f t="shared" si="14"/>
        <v>-8.4905660377358486E-2</v>
      </c>
      <c r="Z72">
        <f>_xlfn.STDEV.P(Y72:$Y$109)</f>
        <v>0.17670558554164348</v>
      </c>
      <c r="AB72" s="16">
        <v>39508</v>
      </c>
      <c r="AC72" s="59">
        <v>396</v>
      </c>
      <c r="AD72" s="82">
        <f t="shared" si="15"/>
        <v>-4.5783132530120479E-2</v>
      </c>
      <c r="AE72">
        <f>_xlfn.STDEV.P(AD72:$AD$108)</f>
        <v>5.418835046476142E-2</v>
      </c>
    </row>
    <row r="73" spans="2:31" x14ac:dyDescent="0.2">
      <c r="B73" s="16">
        <v>39600</v>
      </c>
      <c r="C73" s="9">
        <v>520</v>
      </c>
      <c r="D73" s="82">
        <f t="shared" si="9"/>
        <v>0.11827956989247312</v>
      </c>
      <c r="E73" s="43">
        <f>_xlfn.STDEV.P(D73:$D$108)</f>
        <v>9.5703401583113357E-2</v>
      </c>
      <c r="F73">
        <f t="shared" si="10"/>
        <v>0.11179140598811663</v>
      </c>
      <c r="G73" s="16">
        <v>39600</v>
      </c>
      <c r="H73" s="9">
        <v>730</v>
      </c>
      <c r="I73" s="82">
        <f t="shared" si="11"/>
        <v>1.3717421124828531E-3</v>
      </c>
      <c r="J73" s="43">
        <f>_xlfn.STDEV.P(I73:$I$109)</f>
        <v>0.17063330798250756</v>
      </c>
      <c r="K73">
        <f t="shared" si="12"/>
        <v>1.3708021337786216E-3</v>
      </c>
      <c r="M73" s="16">
        <v>39600</v>
      </c>
      <c r="N73" s="9">
        <v>405</v>
      </c>
      <c r="O73" s="82">
        <f t="shared" ref="O73:O109" si="16">((N73-N72)/N72)</f>
        <v>4.1131105398457581E-2</v>
      </c>
      <c r="P73" s="44">
        <f>_xlfn.STDEV.P(O73:$O$109)</f>
        <v>0.1738916838568495</v>
      </c>
      <c r="Q73">
        <f t="shared" ref="Q73:Q109" si="17">LN(1+O73)</f>
        <v>4.0307723488092813E-2</v>
      </c>
      <c r="R73" s="16">
        <v>39600</v>
      </c>
      <c r="S73" s="60">
        <v>435</v>
      </c>
      <c r="T73" s="82">
        <f t="shared" si="13"/>
        <v>0</v>
      </c>
      <c r="U73" s="44">
        <f>_xlfn.STDEV.P(T73:$T$109)</f>
        <v>0.17075403869290193</v>
      </c>
      <c r="W73" s="16">
        <v>39600</v>
      </c>
      <c r="X73" s="59">
        <v>499</v>
      </c>
      <c r="Y73" s="82">
        <f t="shared" si="14"/>
        <v>2.88659793814433E-2</v>
      </c>
      <c r="Z73">
        <f>_xlfn.STDEV.P(Y73:$Y$109)</f>
        <v>0.17864193161907177</v>
      </c>
      <c r="AB73" s="16">
        <v>39600</v>
      </c>
      <c r="AC73" s="59">
        <v>395</v>
      </c>
      <c r="AD73" s="82">
        <f t="shared" si="15"/>
        <v>-2.5252525252525255E-3</v>
      </c>
      <c r="AE73">
        <f>_xlfn.STDEV.P(AD73:$AD$108)</f>
        <v>5.3920820915085536E-2</v>
      </c>
    </row>
    <row r="74" spans="2:31" x14ac:dyDescent="0.2">
      <c r="B74" s="16">
        <v>39692</v>
      </c>
      <c r="C74" s="9">
        <v>500</v>
      </c>
      <c r="D74" s="82">
        <f t="shared" si="9"/>
        <v>-3.8461538461538464E-2</v>
      </c>
      <c r="E74" s="43">
        <f>_xlfn.STDEV.P(D74:$D$108)</f>
        <v>9.5649769087577621E-2</v>
      </c>
      <c r="F74">
        <f t="shared" si="10"/>
        <v>-3.9220713153281267E-2</v>
      </c>
      <c r="G74" s="16">
        <v>39692</v>
      </c>
      <c r="H74" s="9">
        <v>720</v>
      </c>
      <c r="I74" s="82">
        <f t="shared" si="11"/>
        <v>-1.3698630136986301E-2</v>
      </c>
      <c r="J74" s="43">
        <f>_xlfn.STDEV.P(I74:$I$109)</f>
        <v>0.17298613854213421</v>
      </c>
      <c r="K74">
        <f t="shared" si="12"/>
        <v>-1.3793322132335873E-2</v>
      </c>
      <c r="M74" s="16">
        <v>39692</v>
      </c>
      <c r="N74" s="9">
        <v>390</v>
      </c>
      <c r="O74" s="82">
        <f t="shared" si="16"/>
        <v>-3.7037037037037035E-2</v>
      </c>
      <c r="P74" s="44">
        <f>_xlfn.STDEV.P(O74:$O$109)</f>
        <v>0.1760895726332021</v>
      </c>
      <c r="Q74">
        <f t="shared" si="17"/>
        <v>-3.7740327982846968E-2</v>
      </c>
      <c r="R74" s="16">
        <v>39692</v>
      </c>
      <c r="S74" s="60">
        <v>420</v>
      </c>
      <c r="T74" s="82">
        <f t="shared" si="13"/>
        <v>-3.4482758620689655E-2</v>
      </c>
      <c r="U74" s="44">
        <f>_xlfn.STDEV.P(T74:$T$109)</f>
        <v>0.17310246818641919</v>
      </c>
      <c r="W74" s="16">
        <v>39692</v>
      </c>
      <c r="X74" s="59">
        <v>470</v>
      </c>
      <c r="Y74" s="82">
        <f t="shared" si="14"/>
        <v>-5.8116232464929862E-2</v>
      </c>
      <c r="Z74">
        <f>_xlfn.STDEV.P(Y74:$Y$109)</f>
        <v>0.18099919956119531</v>
      </c>
      <c r="AB74" s="16">
        <v>39692</v>
      </c>
      <c r="AC74" s="59">
        <v>385</v>
      </c>
      <c r="AD74" s="82">
        <f t="shared" si="15"/>
        <v>-2.5316455696202531E-2</v>
      </c>
      <c r="AE74">
        <f>_xlfn.STDEV.P(AD74:$AD$108)</f>
        <v>5.4570659194349481E-2</v>
      </c>
    </row>
    <row r="75" spans="2:31" x14ac:dyDescent="0.2">
      <c r="B75" s="16">
        <v>39783</v>
      </c>
      <c r="C75" s="9">
        <v>468</v>
      </c>
      <c r="D75" s="82">
        <f t="shared" si="9"/>
        <v>-6.4000000000000001E-2</v>
      </c>
      <c r="E75" s="43">
        <f>_xlfn.STDEV.P(D75:$D$108)</f>
        <v>9.6523726248464392E-2</v>
      </c>
      <c r="F75">
        <f t="shared" si="10"/>
        <v>-6.613980250454507E-2</v>
      </c>
      <c r="G75" s="16">
        <v>39783</v>
      </c>
      <c r="H75" s="9">
        <v>700</v>
      </c>
      <c r="I75" s="82">
        <f t="shared" si="11"/>
        <v>-2.7777777777777776E-2</v>
      </c>
      <c r="J75" s="43">
        <f>_xlfn.STDEV.P(I75:$I$109)</f>
        <v>0.17542833364448204</v>
      </c>
      <c r="K75">
        <f t="shared" si="12"/>
        <v>-2.8170876966696335E-2</v>
      </c>
      <c r="M75" s="16">
        <v>39783</v>
      </c>
      <c r="N75" s="9">
        <v>380</v>
      </c>
      <c r="O75" s="82">
        <f t="shared" si="16"/>
        <v>-2.564102564102564E-2</v>
      </c>
      <c r="P75" s="44">
        <f>_xlfn.STDEV.P(O75:$O$109)</f>
        <v>0.17852738551899791</v>
      </c>
      <c r="Q75">
        <f t="shared" si="17"/>
        <v>-2.5975486403260677E-2</v>
      </c>
      <c r="R75" s="16">
        <v>39783</v>
      </c>
      <c r="S75" s="60">
        <v>412</v>
      </c>
      <c r="T75" s="82">
        <f t="shared" si="13"/>
        <v>-1.9047619047619049E-2</v>
      </c>
      <c r="U75" s="44">
        <f>_xlfn.STDEV.P(T75:$T$109)</f>
        <v>0.17550531333955158</v>
      </c>
      <c r="W75" s="16">
        <v>39783</v>
      </c>
      <c r="X75" s="59">
        <v>459</v>
      </c>
      <c r="Y75" s="82">
        <f t="shared" si="14"/>
        <v>-2.3404255319148935E-2</v>
      </c>
      <c r="Z75">
        <f>_xlfn.STDEV.P(Y75:$Y$109)</f>
        <v>0.18337328523478971</v>
      </c>
      <c r="AB75" s="16">
        <v>39783</v>
      </c>
      <c r="AC75" s="59">
        <v>378</v>
      </c>
      <c r="AD75" s="82">
        <f t="shared" si="15"/>
        <v>-1.8181818181818181E-2</v>
      </c>
      <c r="AE75">
        <f>_xlfn.STDEV.P(AD75:$AD$108)</f>
        <v>5.4833949392684114E-2</v>
      </c>
    </row>
    <row r="76" spans="2:31" x14ac:dyDescent="0.2">
      <c r="B76" s="16">
        <v>39873</v>
      </c>
      <c r="C76" s="9">
        <v>484</v>
      </c>
      <c r="D76" s="82">
        <f t="shared" si="9"/>
        <v>3.4188034188034191E-2</v>
      </c>
      <c r="E76" s="43">
        <f>_xlfn.STDEV.P(D76:$D$108)</f>
        <v>9.6816351662805722E-2</v>
      </c>
      <c r="F76">
        <f t="shared" si="10"/>
        <v>3.3616610798985064E-2</v>
      </c>
      <c r="G76" s="16">
        <v>39873</v>
      </c>
      <c r="H76" s="9">
        <v>715</v>
      </c>
      <c r="I76" s="82">
        <f t="shared" si="11"/>
        <v>2.1428571428571429E-2</v>
      </c>
      <c r="J76" s="43">
        <f>_xlfn.STDEV.P(I76:$I$109)</f>
        <v>0.17793107270978215</v>
      </c>
      <c r="K76">
        <f t="shared" si="12"/>
        <v>2.1202207650602906E-2</v>
      </c>
      <c r="M76" s="16">
        <v>39873</v>
      </c>
      <c r="N76" s="9">
        <v>420</v>
      </c>
      <c r="O76" s="82">
        <f t="shared" si="16"/>
        <v>0.10526315789473684</v>
      </c>
      <c r="P76" s="44">
        <f>_xlfn.STDEV.P(O76:$O$109)</f>
        <v>0.18111132126582691</v>
      </c>
      <c r="Q76">
        <f t="shared" si="17"/>
        <v>0.10008345855698243</v>
      </c>
      <c r="R76" s="16">
        <v>39873</v>
      </c>
      <c r="S76" s="60">
        <v>408</v>
      </c>
      <c r="T76" s="82">
        <f t="shared" si="13"/>
        <v>-9.7087378640776691E-3</v>
      </c>
      <c r="U76" s="44">
        <f>_xlfn.STDEV.P(T76:$T$109)</f>
        <v>0.17805845274826937</v>
      </c>
      <c r="W76" s="16">
        <v>39873</v>
      </c>
      <c r="X76" s="59">
        <v>440</v>
      </c>
      <c r="Y76" s="82">
        <f t="shared" si="14"/>
        <v>-4.1394335511982572E-2</v>
      </c>
      <c r="Z76">
        <f>_xlfn.STDEV.P(Y76:$Y$109)</f>
        <v>0.1860300084464627</v>
      </c>
      <c r="AB76" s="16">
        <v>39873</v>
      </c>
      <c r="AC76" s="59">
        <v>385</v>
      </c>
      <c r="AD76" s="82">
        <f t="shared" si="15"/>
        <v>1.8518518518518517E-2</v>
      </c>
      <c r="AE76">
        <f>_xlfn.STDEV.P(AD76:$AD$108)</f>
        <v>5.5247266828042818E-2</v>
      </c>
    </row>
    <row r="77" spans="2:31" x14ac:dyDescent="0.2">
      <c r="B77" s="16">
        <v>39965</v>
      </c>
      <c r="C77" s="9">
        <v>508</v>
      </c>
      <c r="D77" s="82">
        <f t="shared" si="9"/>
        <v>4.9586776859504134E-2</v>
      </c>
      <c r="E77" s="43">
        <f>_xlfn.STDEV.P(D77:$D$108)</f>
        <v>9.829913077705528E-2</v>
      </c>
      <c r="F77">
        <f t="shared" si="10"/>
        <v>4.8396540861850239E-2</v>
      </c>
      <c r="G77" s="16">
        <v>39965</v>
      </c>
      <c r="H77" s="9">
        <v>751</v>
      </c>
      <c r="I77" s="82">
        <f t="shared" si="11"/>
        <v>5.0349650349650353E-2</v>
      </c>
      <c r="J77" s="43">
        <f>_xlfn.STDEV.P(I77:$I$109)</f>
        <v>0.18056413833223678</v>
      </c>
      <c r="K77">
        <f t="shared" si="12"/>
        <v>4.9123109070127076E-2</v>
      </c>
      <c r="M77" s="16">
        <v>39965</v>
      </c>
      <c r="N77" s="9">
        <v>430</v>
      </c>
      <c r="O77" s="82">
        <f t="shared" si="16"/>
        <v>2.3809523809523808E-2</v>
      </c>
      <c r="P77" s="44">
        <f>_xlfn.STDEV.P(O77:$O$109)</f>
        <v>0.18272733511398273</v>
      </c>
      <c r="Q77">
        <f t="shared" si="17"/>
        <v>2.3530497410194036E-2</v>
      </c>
      <c r="R77" s="16">
        <v>39965</v>
      </c>
      <c r="S77" s="60">
        <v>435</v>
      </c>
      <c r="T77" s="82">
        <f t="shared" si="13"/>
        <v>6.6176470588235295E-2</v>
      </c>
      <c r="U77" s="44">
        <f>_xlfn.STDEV.P(T77:$T$109)</f>
        <v>0.18073602288077051</v>
      </c>
      <c r="W77" s="16">
        <v>39965</v>
      </c>
      <c r="X77" s="59">
        <v>485</v>
      </c>
      <c r="Y77" s="82">
        <f t="shared" si="14"/>
        <v>0.10227272727272728</v>
      </c>
      <c r="Z77">
        <f>_xlfn.STDEV.P(Y77:$Y$109)</f>
        <v>0.18873038102321407</v>
      </c>
      <c r="AB77" s="16">
        <v>39965</v>
      </c>
      <c r="AC77" s="59">
        <v>400</v>
      </c>
      <c r="AD77" s="82">
        <f t="shared" si="15"/>
        <v>3.896103896103896E-2</v>
      </c>
      <c r="AE77">
        <f>_xlfn.STDEV.P(AD77:$AD$108)</f>
        <v>5.6101799548414572E-2</v>
      </c>
    </row>
    <row r="78" spans="2:31" x14ac:dyDescent="0.2">
      <c r="B78" s="16">
        <v>40057</v>
      </c>
      <c r="C78" s="9">
        <v>514</v>
      </c>
      <c r="D78" s="82">
        <f t="shared" si="9"/>
        <v>1.1811023622047244E-2</v>
      </c>
      <c r="E78" s="43">
        <f>_xlfn.STDEV.P(D78:$D$108)</f>
        <v>9.9756579171924584E-2</v>
      </c>
      <c r="F78">
        <f t="shared" si="10"/>
        <v>1.1741817876683195E-2</v>
      </c>
      <c r="G78" s="16">
        <v>40057</v>
      </c>
      <c r="H78" s="9">
        <v>746</v>
      </c>
      <c r="I78" s="82">
        <f t="shared" si="11"/>
        <v>-6.6577896138482022E-3</v>
      </c>
      <c r="J78" s="43">
        <f>_xlfn.STDEV.P(I78:$I$109)</f>
        <v>0.18312752791184453</v>
      </c>
      <c r="K78">
        <f t="shared" si="12"/>
        <v>-6.6800515603739107E-3</v>
      </c>
      <c r="M78" s="16">
        <v>40057</v>
      </c>
      <c r="N78" s="9">
        <v>421</v>
      </c>
      <c r="O78" s="82">
        <f t="shared" si="16"/>
        <v>-2.0930232558139535E-2</v>
      </c>
      <c r="P78" s="44">
        <f>_xlfn.STDEV.P(O78:$O$109)</f>
        <v>0.18544767267330797</v>
      </c>
      <c r="Q78">
        <f t="shared" si="17"/>
        <v>-2.1152375005226681E-2</v>
      </c>
      <c r="R78" s="16">
        <v>40057</v>
      </c>
      <c r="S78" s="60">
        <v>450</v>
      </c>
      <c r="T78" s="82">
        <f t="shared" si="13"/>
        <v>3.4482758620689655E-2</v>
      </c>
      <c r="U78" s="44">
        <f>_xlfn.STDEV.P(T78:$T$109)</f>
        <v>0.18305006998218157</v>
      </c>
      <c r="W78" s="16">
        <v>40057</v>
      </c>
      <c r="X78" s="59">
        <v>493</v>
      </c>
      <c r="Y78" s="82">
        <f t="shared" si="14"/>
        <v>1.6494845360824743E-2</v>
      </c>
      <c r="Z78">
        <f>_xlfn.STDEV.P(Y78:$Y$109)</f>
        <v>0.19066726389501359</v>
      </c>
      <c r="AB78" s="16">
        <v>40057</v>
      </c>
      <c r="AC78" s="59">
        <v>429</v>
      </c>
      <c r="AD78" s="82">
        <f t="shared" si="15"/>
        <v>7.2499999999999995E-2</v>
      </c>
      <c r="AE78">
        <f>_xlfn.STDEV.P(AD78:$AD$108)</f>
        <v>5.6908136523052009E-2</v>
      </c>
    </row>
    <row r="79" spans="2:31" x14ac:dyDescent="0.2">
      <c r="B79" s="16">
        <v>40148</v>
      </c>
      <c r="C79" s="9">
        <v>580</v>
      </c>
      <c r="D79" s="82">
        <f t="shared" si="9"/>
        <v>0.12840466926070038</v>
      </c>
      <c r="E79" s="43">
        <f>_xlfn.STDEV.P(D79:$D$108)</f>
        <v>0.10138640297425329</v>
      </c>
      <c r="F79">
        <f t="shared" si="10"/>
        <v>0.1208048380852999</v>
      </c>
      <c r="G79" s="16">
        <v>40148</v>
      </c>
      <c r="H79" s="9">
        <v>815</v>
      </c>
      <c r="I79" s="82">
        <f t="shared" si="11"/>
        <v>9.2493297587131373E-2</v>
      </c>
      <c r="J79" s="43">
        <f>_xlfn.STDEV.P(I79:$I$109)</f>
        <v>0.18605662200323653</v>
      </c>
      <c r="K79">
        <f t="shared" si="12"/>
        <v>8.8462513037101814E-2</v>
      </c>
      <c r="M79" s="16">
        <v>40148</v>
      </c>
      <c r="N79" s="9">
        <v>440</v>
      </c>
      <c r="O79" s="82">
        <f t="shared" si="16"/>
        <v>4.5130641330166268E-2</v>
      </c>
      <c r="P79" s="44">
        <f>_xlfn.STDEV.P(O79:$O$109)</f>
        <v>0.18840995306259217</v>
      </c>
      <c r="Q79">
        <f t="shared" si="17"/>
        <v>4.4141893229925358E-2</v>
      </c>
      <c r="R79" s="16">
        <v>40148</v>
      </c>
      <c r="S79" s="60">
        <v>500</v>
      </c>
      <c r="T79" s="82">
        <f t="shared" si="13"/>
        <v>0.1111111111111111</v>
      </c>
      <c r="U79" s="44">
        <f>_xlfn.STDEV.P(T79:$T$109)</f>
        <v>0.1857964024899299</v>
      </c>
      <c r="W79" s="16">
        <v>40148</v>
      </c>
      <c r="X79" s="59">
        <v>578</v>
      </c>
      <c r="Y79" s="82">
        <f t="shared" si="14"/>
        <v>0.17241379310344829</v>
      </c>
      <c r="Z79">
        <f>_xlfn.STDEV.P(Y79:$Y$109)</f>
        <v>0.19366026631293556</v>
      </c>
      <c r="AB79" s="16">
        <v>40148</v>
      </c>
      <c r="AC79" s="59">
        <v>452</v>
      </c>
      <c r="AD79" s="82">
        <f t="shared" si="15"/>
        <v>5.3613053613053616E-2</v>
      </c>
      <c r="AE79">
        <f>_xlfn.STDEV.P(AD79:$AD$108)</f>
        <v>5.7044832167156258E-2</v>
      </c>
    </row>
    <row r="80" spans="2:31" x14ac:dyDescent="0.2">
      <c r="B80" s="16">
        <v>40238</v>
      </c>
      <c r="C80" s="9">
        <v>571</v>
      </c>
      <c r="D80" s="82">
        <f t="shared" si="9"/>
        <v>-1.5517241379310345E-2</v>
      </c>
      <c r="E80" s="43">
        <f>_xlfn.STDEV.P(D80:$D$108)</f>
        <v>0.10117174298751382</v>
      </c>
      <c r="F80">
        <f t="shared" si="10"/>
        <v>-1.5638893884454778E-2</v>
      </c>
      <c r="G80" s="16">
        <v>40238</v>
      </c>
      <c r="H80" s="9">
        <v>848</v>
      </c>
      <c r="I80" s="82">
        <f t="shared" si="11"/>
        <v>4.0490797546012272E-2</v>
      </c>
      <c r="J80" s="43">
        <f>_xlfn.STDEV.P(I80:$I$109)</f>
        <v>0.18830019956418426</v>
      </c>
      <c r="K80">
        <f t="shared" si="12"/>
        <v>3.9692522551040353E-2</v>
      </c>
      <c r="M80" s="16">
        <v>40238</v>
      </c>
      <c r="N80" s="9">
        <v>485</v>
      </c>
      <c r="O80" s="82">
        <f t="shared" si="16"/>
        <v>0.10227272727272728</v>
      </c>
      <c r="P80" s="44">
        <f>_xlfn.STDEV.P(O80:$O$109)</f>
        <v>0.19121911553533544</v>
      </c>
      <c r="Q80">
        <f t="shared" si="17"/>
        <v>9.7374164025176374E-2</v>
      </c>
      <c r="R80" s="16">
        <v>40238</v>
      </c>
      <c r="S80" s="60">
        <v>500</v>
      </c>
      <c r="T80" s="82">
        <f t="shared" si="13"/>
        <v>0</v>
      </c>
      <c r="U80" s="44">
        <f>_xlfn.STDEV.P(T80:$T$109)</f>
        <v>0.18747746901238035</v>
      </c>
      <c r="W80" s="16">
        <v>40238</v>
      </c>
      <c r="X80" s="59">
        <v>566</v>
      </c>
      <c r="Y80" s="82">
        <f t="shared" si="14"/>
        <v>-2.0761245674740483E-2</v>
      </c>
      <c r="Z80">
        <f>_xlfn.STDEV.P(Y80:$Y$109)</f>
        <v>0.19391927628918579</v>
      </c>
      <c r="AB80" s="16">
        <v>40238</v>
      </c>
      <c r="AC80" s="59">
        <v>450</v>
      </c>
      <c r="AD80" s="82">
        <f t="shared" si="15"/>
        <v>-4.4247787610619468E-3</v>
      </c>
      <c r="AE80">
        <f>_xlfn.STDEV.P(AD80:$AD$108)</f>
        <v>5.7650284553842711E-2</v>
      </c>
    </row>
    <row r="81" spans="2:31" x14ac:dyDescent="0.2">
      <c r="B81" s="16">
        <v>40330</v>
      </c>
      <c r="C81" s="9">
        <v>665</v>
      </c>
      <c r="D81" s="82">
        <f t="shared" si="9"/>
        <v>0.16462346760070051</v>
      </c>
      <c r="E81" s="43">
        <f>_xlfn.STDEV.P(D81:$D$108)</f>
        <v>0.10274651227860007</v>
      </c>
      <c r="F81">
        <f t="shared" si="10"/>
        <v>0.15239783099984397</v>
      </c>
      <c r="G81" s="16">
        <v>40330</v>
      </c>
      <c r="H81" s="9">
        <v>894</v>
      </c>
      <c r="I81" s="82">
        <f t="shared" si="11"/>
        <v>5.4245283018867926E-2</v>
      </c>
      <c r="J81" s="43">
        <f>_xlfn.STDEV.P(I81:$I$109)</f>
        <v>0.19131638452636993</v>
      </c>
      <c r="K81">
        <f t="shared" si="12"/>
        <v>5.2825139381611139E-2</v>
      </c>
      <c r="M81" s="16">
        <v>40330</v>
      </c>
      <c r="N81" s="9">
        <v>495</v>
      </c>
      <c r="O81" s="82">
        <f t="shared" si="16"/>
        <v>2.0618556701030927E-2</v>
      </c>
      <c r="P81" s="44">
        <f>_xlfn.STDEV.P(O81:$O$109)</f>
        <v>0.19322157582489385</v>
      </c>
      <c r="Q81">
        <f t="shared" si="17"/>
        <v>2.0408871631207033E-2</v>
      </c>
      <c r="R81" s="16">
        <v>40330</v>
      </c>
      <c r="S81" s="60">
        <v>523</v>
      </c>
      <c r="T81" s="82">
        <f t="shared" si="13"/>
        <v>4.5999999999999999E-2</v>
      </c>
      <c r="U81" s="44">
        <f>_xlfn.STDEV.P(T81:$T$109)</f>
        <v>0.19065777060598013</v>
      </c>
      <c r="W81" s="16">
        <v>40330</v>
      </c>
      <c r="X81" s="59">
        <v>595</v>
      </c>
      <c r="Y81" s="82">
        <f t="shared" si="14"/>
        <v>5.1236749116607777E-2</v>
      </c>
      <c r="Z81">
        <f>_xlfn.STDEV.P(Y81:$Y$109)</f>
        <v>0.19723263864508928</v>
      </c>
      <c r="AB81" s="16">
        <v>40330</v>
      </c>
      <c r="AC81" s="59">
        <v>480</v>
      </c>
      <c r="AD81" s="82">
        <f t="shared" si="15"/>
        <v>6.6666666666666666E-2</v>
      </c>
      <c r="AE81">
        <f>_xlfn.STDEV.P(AD81:$AD$108)</f>
        <v>5.8514902934681305E-2</v>
      </c>
    </row>
    <row r="82" spans="2:31" x14ac:dyDescent="0.2">
      <c r="B82" s="16">
        <v>40422</v>
      </c>
      <c r="C82" s="9">
        <v>590</v>
      </c>
      <c r="D82" s="82">
        <f t="shared" si="9"/>
        <v>-0.11278195488721804</v>
      </c>
      <c r="E82" s="43">
        <f>_xlfn.STDEV.P(D82:$D$108)</f>
        <v>0.10074081025669843</v>
      </c>
      <c r="F82">
        <f t="shared" si="10"/>
        <v>-0.11966450375608893</v>
      </c>
      <c r="G82" s="16">
        <v>40422</v>
      </c>
      <c r="H82" s="9">
        <v>890</v>
      </c>
      <c r="I82" s="82">
        <f t="shared" si="11"/>
        <v>-4.4742729306487695E-3</v>
      </c>
      <c r="J82" s="43">
        <f>_xlfn.STDEV.P(I82:$I$109)</f>
        <v>0.19433702599915278</v>
      </c>
      <c r="K82">
        <f t="shared" si="12"/>
        <v>-4.4843124473285759E-3</v>
      </c>
      <c r="M82" s="16">
        <v>40422</v>
      </c>
      <c r="N82" s="9">
        <v>457</v>
      </c>
      <c r="O82" s="82">
        <f t="shared" si="16"/>
        <v>-7.6767676767676762E-2</v>
      </c>
      <c r="P82" s="44">
        <f>_xlfn.STDEV.P(O82:$O$109)</f>
        <v>0.19649327735659758</v>
      </c>
      <c r="Q82">
        <f t="shared" si="17"/>
        <v>-7.9874371674485661E-2</v>
      </c>
      <c r="R82" s="16">
        <v>40422</v>
      </c>
      <c r="S82" s="60">
        <v>515</v>
      </c>
      <c r="T82" s="82">
        <f t="shared" si="13"/>
        <v>-1.5296367112810707E-2</v>
      </c>
      <c r="U82" s="44">
        <f>_xlfn.STDEV.P(T82:$T$109)</f>
        <v>0.1936562092203532</v>
      </c>
      <c r="W82" s="16">
        <v>40422</v>
      </c>
      <c r="X82" s="59">
        <v>577</v>
      </c>
      <c r="Y82" s="82">
        <f t="shared" si="14"/>
        <v>-3.0252100840336135E-2</v>
      </c>
      <c r="Z82">
        <f>_xlfn.STDEV.P(Y82:$Y$109)</f>
        <v>0.20030394520731226</v>
      </c>
      <c r="AB82" s="16">
        <v>40422</v>
      </c>
      <c r="AC82" s="59">
        <v>479</v>
      </c>
      <c r="AD82" s="82">
        <f t="shared" si="15"/>
        <v>-2.0833333333333333E-3</v>
      </c>
      <c r="AE82">
        <f>_xlfn.STDEV.P(AD82:$AD$108)</f>
        <v>5.8838933705880371E-2</v>
      </c>
    </row>
    <row r="83" spans="2:31" x14ac:dyDescent="0.2">
      <c r="B83" s="16">
        <v>40513</v>
      </c>
      <c r="C83" s="9">
        <v>655</v>
      </c>
      <c r="D83" s="82">
        <f t="shared" si="9"/>
        <v>0.11016949152542373</v>
      </c>
      <c r="E83" s="43">
        <f>_xlfn.STDEV.P(D83:$D$108)</f>
        <v>9.9430822052890958E-2</v>
      </c>
      <c r="F83">
        <f t="shared" si="10"/>
        <v>0.10451269873548671</v>
      </c>
      <c r="G83" s="16">
        <v>40513</v>
      </c>
      <c r="H83" s="9">
        <v>883</v>
      </c>
      <c r="I83" s="82">
        <f t="shared" si="11"/>
        <v>-7.8651685393258432E-3</v>
      </c>
      <c r="J83" s="43">
        <f>_xlfn.STDEV.P(I83:$I$109)</f>
        <v>0.19790018566199505</v>
      </c>
      <c r="K83">
        <f t="shared" si="12"/>
        <v>-7.8962621222255051E-3</v>
      </c>
      <c r="M83" s="16">
        <v>40513</v>
      </c>
      <c r="N83" s="9">
        <v>480</v>
      </c>
      <c r="O83" s="82">
        <f t="shared" si="16"/>
        <v>5.0328227571115977E-2</v>
      </c>
      <c r="P83" s="44">
        <f>_xlfn.STDEV.P(O83:$O$109)</f>
        <v>0.19979504303224691</v>
      </c>
      <c r="Q83">
        <f t="shared" si="17"/>
        <v>4.9102713007731821E-2</v>
      </c>
      <c r="R83" s="16">
        <v>40513</v>
      </c>
      <c r="S83" s="60">
        <v>535</v>
      </c>
      <c r="T83" s="82">
        <f t="shared" si="13"/>
        <v>3.8834951456310676E-2</v>
      </c>
      <c r="U83" s="44">
        <f>_xlfn.STDEV.P(T83:$T$109)</f>
        <v>0.1972084630052772</v>
      </c>
      <c r="W83" s="16">
        <v>40513</v>
      </c>
      <c r="X83" s="59">
        <v>600</v>
      </c>
      <c r="Y83" s="82">
        <f t="shared" si="14"/>
        <v>3.9861351819757362E-2</v>
      </c>
      <c r="Z83">
        <f>_xlfn.STDEV.P(Y83:$Y$109)</f>
        <v>0.20396685054892158</v>
      </c>
      <c r="AB83" s="16">
        <v>40513</v>
      </c>
      <c r="AC83" s="59">
        <v>490</v>
      </c>
      <c r="AD83" s="82">
        <f t="shared" si="15"/>
        <v>2.2964509394572025E-2</v>
      </c>
      <c r="AE83">
        <f>_xlfn.STDEV.P(AD83:$AD$108)</f>
        <v>5.9840817032113927E-2</v>
      </c>
    </row>
    <row r="84" spans="2:31" x14ac:dyDescent="0.2">
      <c r="B84" s="16">
        <v>40603</v>
      </c>
      <c r="C84" s="9">
        <v>600</v>
      </c>
      <c r="D84" s="82">
        <f t="shared" si="9"/>
        <v>-8.3969465648854963E-2</v>
      </c>
      <c r="E84" s="43">
        <f>_xlfn.STDEV.P(D84:$D$108)</f>
        <v>9.9716490963020585E-2</v>
      </c>
      <c r="F84">
        <f t="shared" si="10"/>
        <v>-8.7705580419105575E-2</v>
      </c>
      <c r="G84" s="16">
        <v>40603</v>
      </c>
      <c r="H84" s="9">
        <v>859</v>
      </c>
      <c r="I84" s="82">
        <f t="shared" si="11"/>
        <v>-2.7180067950169876E-2</v>
      </c>
      <c r="J84" s="43">
        <f>_xlfn.STDEV.P(I84:$I$109)</f>
        <v>0.201669513439906</v>
      </c>
      <c r="K84">
        <f t="shared" si="12"/>
        <v>-2.7556278619704683E-2</v>
      </c>
      <c r="M84" s="16">
        <v>40603</v>
      </c>
      <c r="N84" s="9">
        <v>447</v>
      </c>
      <c r="O84" s="82">
        <f t="shared" si="16"/>
        <v>-6.8750000000000006E-2</v>
      </c>
      <c r="P84" s="44">
        <f>_xlfn.STDEV.P(O84:$O$109)</f>
        <v>0.20313671734608757</v>
      </c>
      <c r="Q84">
        <f t="shared" si="17"/>
        <v>-7.1227509288367755E-2</v>
      </c>
      <c r="R84" s="16">
        <v>40603</v>
      </c>
      <c r="S84" s="60">
        <v>580</v>
      </c>
      <c r="T84" s="82">
        <f t="shared" si="13"/>
        <v>8.4112149532710276E-2</v>
      </c>
      <c r="U84" s="44">
        <f>_xlfn.STDEV.P(T84:$T$109)</f>
        <v>0.20063038166809133</v>
      </c>
      <c r="W84" s="16">
        <v>40603</v>
      </c>
      <c r="X84" s="59">
        <v>550</v>
      </c>
      <c r="Y84" s="82">
        <f t="shared" si="14"/>
        <v>-8.3333333333333329E-2</v>
      </c>
      <c r="Z84">
        <f>_xlfn.STDEV.P(Y84:$Y$109)</f>
        <v>0.20752806197632481</v>
      </c>
      <c r="AB84" s="16">
        <v>40603</v>
      </c>
      <c r="AC84" s="59">
        <v>594</v>
      </c>
      <c r="AD84" s="82">
        <f t="shared" si="15"/>
        <v>0.21224489795918366</v>
      </c>
      <c r="AE84">
        <f>_xlfn.STDEV.P(AD84:$AD$108)</f>
        <v>6.1015841421422412E-2</v>
      </c>
    </row>
    <row r="85" spans="2:31" x14ac:dyDescent="0.2">
      <c r="B85" s="16">
        <v>40695</v>
      </c>
      <c r="C85" s="9">
        <v>672</v>
      </c>
      <c r="D85" s="82">
        <f t="shared" si="9"/>
        <v>0.12</v>
      </c>
      <c r="E85" s="43">
        <f>_xlfn.STDEV.P(D85:$D$108)</f>
        <v>9.9603782155514409E-2</v>
      </c>
      <c r="F85">
        <f t="shared" si="10"/>
        <v>0.11332868530700327</v>
      </c>
      <c r="G85" s="16">
        <v>40695</v>
      </c>
      <c r="H85" s="9">
        <v>887</v>
      </c>
      <c r="I85" s="82">
        <f t="shared" si="11"/>
        <v>3.2596041909196738E-2</v>
      </c>
      <c r="J85" s="43">
        <f>_xlfn.STDEV.P(I85:$I$109)</f>
        <v>0.20563449093472649</v>
      </c>
      <c r="K85">
        <f t="shared" si="12"/>
        <v>3.2076060325324222E-2</v>
      </c>
      <c r="M85" s="16">
        <v>40695</v>
      </c>
      <c r="N85" s="9">
        <v>475</v>
      </c>
      <c r="O85" s="82">
        <f t="shared" si="16"/>
        <v>6.2639821029082776E-2</v>
      </c>
      <c r="P85" s="44">
        <f>_xlfn.STDEV.P(O85:$O$109)</f>
        <v>0.20693130197123311</v>
      </c>
      <c r="Q85">
        <f t="shared" si="17"/>
        <v>6.0756209421072432E-2</v>
      </c>
      <c r="R85" s="16">
        <v>40695</v>
      </c>
      <c r="S85" s="60">
        <v>540</v>
      </c>
      <c r="T85" s="82">
        <f t="shared" si="13"/>
        <v>-6.8965517241379309E-2</v>
      </c>
      <c r="U85" s="44">
        <f>_xlfn.STDEV.P(T85:$T$109)</f>
        <v>0.20346843373700244</v>
      </c>
      <c r="W85" s="16">
        <v>40695</v>
      </c>
      <c r="X85" s="59">
        <v>600</v>
      </c>
      <c r="Y85" s="82">
        <f t="shared" si="14"/>
        <v>9.0909090909090912E-2</v>
      </c>
      <c r="Z85">
        <f>_xlfn.STDEV.P(Y85:$Y$109)</f>
        <v>0.21124880877177982</v>
      </c>
      <c r="AB85" s="16">
        <v>40695</v>
      </c>
      <c r="AC85" s="59">
        <v>512</v>
      </c>
      <c r="AD85" s="82">
        <f t="shared" si="15"/>
        <v>-0.13804713804713806</v>
      </c>
      <c r="AE85">
        <f>_xlfn.STDEV.P(AD85:$AD$108)</f>
        <v>4.7210773886231648E-2</v>
      </c>
    </row>
    <row r="86" spans="2:31" x14ac:dyDescent="0.2">
      <c r="B86" s="16">
        <v>40787</v>
      </c>
      <c r="C86" s="9">
        <v>600</v>
      </c>
      <c r="D86" s="82">
        <f t="shared" si="9"/>
        <v>-0.10714285714285714</v>
      </c>
      <c r="E86" s="43">
        <f>_xlfn.STDEV.P(D86:$D$108)</f>
        <v>9.9515486453794738E-2</v>
      </c>
      <c r="F86">
        <f t="shared" si="10"/>
        <v>-0.11332868530700312</v>
      </c>
      <c r="G86" s="16">
        <v>40787</v>
      </c>
      <c r="H86" s="9">
        <v>879</v>
      </c>
      <c r="I86" s="82">
        <f t="shared" si="11"/>
        <v>-9.0191657271702363E-3</v>
      </c>
      <c r="J86" s="43">
        <f>_xlfn.STDEV.P(I86:$I$109)</f>
        <v>0.20969054258336986</v>
      </c>
      <c r="K86">
        <f t="shared" si="12"/>
        <v>-9.060084624402465E-3</v>
      </c>
      <c r="M86" s="16">
        <v>40787</v>
      </c>
      <c r="N86" s="9">
        <v>525</v>
      </c>
      <c r="O86" s="82">
        <f t="shared" si="16"/>
        <v>0.10526315789473684</v>
      </c>
      <c r="P86" s="44">
        <f>_xlfn.STDEV.P(O86:$O$109)</f>
        <v>0.21050952948748014</v>
      </c>
      <c r="Q86">
        <f t="shared" si="17"/>
        <v>0.10008345855698243</v>
      </c>
      <c r="R86" s="16">
        <v>40787</v>
      </c>
      <c r="S86" s="60">
        <v>510</v>
      </c>
      <c r="T86" s="82">
        <f t="shared" si="13"/>
        <v>-5.5555555555555552E-2</v>
      </c>
      <c r="U86" s="44">
        <f>_xlfn.STDEV.P(T86:$T$109)</f>
        <v>0.20746780212769922</v>
      </c>
      <c r="W86" s="16">
        <v>40787</v>
      </c>
      <c r="X86" s="59">
        <v>550</v>
      </c>
      <c r="Y86" s="82">
        <f t="shared" si="14"/>
        <v>-8.3333333333333329E-2</v>
      </c>
      <c r="Z86">
        <f>_xlfn.STDEV.P(Y86:$Y$109)</f>
        <v>0.2144093936453611</v>
      </c>
      <c r="AB86" s="16">
        <v>40787</v>
      </c>
      <c r="AC86" s="59">
        <v>489</v>
      </c>
      <c r="AD86" s="82">
        <f t="shared" si="15"/>
        <v>-4.4921875E-2</v>
      </c>
      <c r="AE86">
        <f>_xlfn.STDEV.P(AD86:$AD$108)</f>
        <v>3.6635825639195638E-2</v>
      </c>
    </row>
    <row r="87" spans="2:31" x14ac:dyDescent="0.2">
      <c r="B87" s="16">
        <v>40878</v>
      </c>
      <c r="C87" s="9">
        <v>539</v>
      </c>
      <c r="D87" s="82">
        <f t="shared" si="9"/>
        <v>-0.10166666666666667</v>
      </c>
      <c r="E87" s="43">
        <f>_xlfn.STDEV.P(D87:$D$108)</f>
        <v>9.8135196763761631E-2</v>
      </c>
      <c r="F87">
        <f t="shared" si="10"/>
        <v>-0.10721408430714924</v>
      </c>
      <c r="G87" s="16">
        <v>40878</v>
      </c>
      <c r="H87" s="9">
        <v>868</v>
      </c>
      <c r="I87" s="82">
        <f t="shared" si="11"/>
        <v>-1.2514220705346985E-2</v>
      </c>
      <c r="J87" s="43">
        <f>_xlfn.STDEV.P(I87:$I$109)</f>
        <v>0.21419994768746342</v>
      </c>
      <c r="K87">
        <f t="shared" si="12"/>
        <v>-1.2593183024826865E-2</v>
      </c>
      <c r="M87" s="16">
        <v>40878</v>
      </c>
      <c r="N87" s="9">
        <v>505</v>
      </c>
      <c r="O87" s="82">
        <f t="shared" si="16"/>
        <v>-3.8095238095238099E-2</v>
      </c>
      <c r="P87" s="44">
        <f>_xlfn.STDEV.P(O87:$O$109)</f>
        <v>0.21330606719345058</v>
      </c>
      <c r="Q87">
        <f t="shared" si="17"/>
        <v>-3.8839833316263894E-2</v>
      </c>
      <c r="R87" s="16">
        <v>40878</v>
      </c>
      <c r="S87" s="60">
        <v>491</v>
      </c>
      <c r="T87" s="82">
        <f t="shared" si="13"/>
        <v>-3.7254901960784313E-2</v>
      </c>
      <c r="U87" s="44">
        <f>_xlfn.STDEV.P(T87:$T$109)</f>
        <v>0.21182222248872648</v>
      </c>
      <c r="W87" s="16">
        <v>40878</v>
      </c>
      <c r="X87" s="59">
        <v>520</v>
      </c>
      <c r="Y87" s="82">
        <f t="shared" si="14"/>
        <v>-5.4545454545454543E-2</v>
      </c>
      <c r="Z87">
        <f>_xlfn.STDEV.P(Y87:$Y$109)</f>
        <v>0.21863673216130375</v>
      </c>
      <c r="AB87" s="16">
        <v>40878</v>
      </c>
      <c r="AC87" s="59">
        <v>475</v>
      </c>
      <c r="AD87" s="82">
        <f t="shared" si="15"/>
        <v>-2.8629856850715747E-2</v>
      </c>
      <c r="AE87">
        <f>_xlfn.STDEV.P(AD87:$AD$108)</f>
        <v>3.5059337523974769E-2</v>
      </c>
    </row>
    <row r="88" spans="2:31" x14ac:dyDescent="0.2">
      <c r="B88" s="16">
        <v>40969</v>
      </c>
      <c r="C88" s="9">
        <v>570</v>
      </c>
      <c r="D88" s="82">
        <f t="shared" si="9"/>
        <v>5.7513914656771803E-2</v>
      </c>
      <c r="E88" s="43">
        <f>_xlfn.STDEV.P(D88:$D$108)</f>
        <v>9.6584398895261839E-2</v>
      </c>
      <c r="F88">
        <f t="shared" si="10"/>
        <v>5.5920789919598687E-2</v>
      </c>
      <c r="G88" s="16">
        <v>40969</v>
      </c>
      <c r="H88" s="9">
        <v>880</v>
      </c>
      <c r="I88" s="82">
        <f t="shared" si="11"/>
        <v>1.3824884792626729E-2</v>
      </c>
      <c r="J88" s="43">
        <f>_xlfn.STDEV.P(I88:$I$109)</f>
        <v>0.21901391276972376</v>
      </c>
      <c r="K88">
        <f t="shared" si="12"/>
        <v>1.3730192811902037E-2</v>
      </c>
      <c r="M88" s="16">
        <v>40969</v>
      </c>
      <c r="N88" s="9">
        <v>540</v>
      </c>
      <c r="O88" s="82">
        <f t="shared" si="16"/>
        <v>6.9306930693069313E-2</v>
      </c>
      <c r="P88" s="44">
        <f>_xlfn.STDEV.P(O88:$O$109)</f>
        <v>0.21808925826792977</v>
      </c>
      <c r="Q88">
        <f t="shared" si="17"/>
        <v>6.7010710282960295E-2</v>
      </c>
      <c r="R88" s="16">
        <v>40969</v>
      </c>
      <c r="S88" s="60">
        <v>540</v>
      </c>
      <c r="T88" s="82">
        <f t="shared" si="13"/>
        <v>9.9796334012219962E-2</v>
      </c>
      <c r="U88" s="44">
        <f>_xlfn.STDEV.P(T88:$T$109)</f>
        <v>0.21655882064914606</v>
      </c>
      <c r="W88" s="16">
        <v>40969</v>
      </c>
      <c r="X88" s="59">
        <v>588</v>
      </c>
      <c r="Y88" s="82">
        <f t="shared" si="14"/>
        <v>0.13076923076923078</v>
      </c>
      <c r="Z88">
        <f>_xlfn.STDEV.P(Y88:$Y$109)</f>
        <v>0.22342226872817234</v>
      </c>
      <c r="AB88" s="16">
        <v>40969</v>
      </c>
      <c r="AC88" s="59">
        <v>505</v>
      </c>
      <c r="AD88" s="82">
        <f t="shared" si="15"/>
        <v>6.3157894736842107E-2</v>
      </c>
      <c r="AE88">
        <f>_xlfn.STDEV.P(AD88:$AD$108)</f>
        <v>3.4316218460611177E-2</v>
      </c>
    </row>
    <row r="89" spans="2:31" x14ac:dyDescent="0.2">
      <c r="B89" s="16">
        <v>41061</v>
      </c>
      <c r="C89" s="9">
        <v>595</v>
      </c>
      <c r="D89" s="82">
        <f t="shared" si="9"/>
        <v>4.3859649122807015E-2</v>
      </c>
      <c r="E89" s="43">
        <f>_xlfn.STDEV.P(D89:$D$108)</f>
        <v>9.8733318830088707E-2</v>
      </c>
      <c r="F89">
        <f t="shared" si="10"/>
        <v>4.2925044717033844E-2</v>
      </c>
      <c r="G89" s="16">
        <v>41061</v>
      </c>
      <c r="H89" s="9">
        <v>880</v>
      </c>
      <c r="I89" s="82">
        <f t="shared" si="11"/>
        <v>0</v>
      </c>
      <c r="J89" s="43">
        <f>_xlfn.STDEV.P(I89:$I$109)</f>
        <v>0.22409693933861494</v>
      </c>
      <c r="K89">
        <f t="shared" si="12"/>
        <v>0</v>
      </c>
      <c r="M89" s="16">
        <v>41061</v>
      </c>
      <c r="N89" s="9">
        <v>558</v>
      </c>
      <c r="O89" s="82">
        <f t="shared" si="16"/>
        <v>3.3333333333333333E-2</v>
      </c>
      <c r="P89" s="44">
        <f>_xlfn.STDEV.P(O89:$O$109)</f>
        <v>0.22216777491326603</v>
      </c>
      <c r="Q89">
        <f t="shared" si="17"/>
        <v>3.278982282299097E-2</v>
      </c>
      <c r="R89" s="16">
        <v>41061</v>
      </c>
      <c r="S89" s="60">
        <v>545</v>
      </c>
      <c r="T89" s="82">
        <f t="shared" si="13"/>
        <v>9.2592592592592587E-3</v>
      </c>
      <c r="U89" s="44">
        <f>_xlfn.STDEV.P(T89:$T$109)</f>
        <v>0.21998548892793687</v>
      </c>
      <c r="W89" s="16">
        <v>41061</v>
      </c>
      <c r="X89" s="59">
        <v>593</v>
      </c>
      <c r="Y89" s="82">
        <f t="shared" si="14"/>
        <v>8.5034013605442185E-3</v>
      </c>
      <c r="Z89">
        <f>_xlfn.STDEV.P(Y89:$Y$109)</f>
        <v>0.22624536607884707</v>
      </c>
      <c r="AB89" s="16">
        <v>41061</v>
      </c>
      <c r="AC89" s="59">
        <v>520</v>
      </c>
      <c r="AD89" s="82">
        <f t="shared" si="15"/>
        <v>2.9702970297029702E-2</v>
      </c>
      <c r="AE89">
        <f>_xlfn.STDEV.P(AD89:$AD$108)</f>
        <v>3.3783418162958476E-2</v>
      </c>
    </row>
    <row r="90" spans="2:31" x14ac:dyDescent="0.2">
      <c r="B90" s="16">
        <v>41153</v>
      </c>
      <c r="C90" s="9">
        <v>634</v>
      </c>
      <c r="D90" s="82">
        <f t="shared" si="9"/>
        <v>6.5546218487394961E-2</v>
      </c>
      <c r="E90" s="43">
        <f>_xlfn.STDEV.P(D90:$D$108)</f>
        <v>0.10121289211643152</v>
      </c>
      <c r="F90">
        <f t="shared" si="10"/>
        <v>6.3487548891596149E-2</v>
      </c>
      <c r="G90" s="16">
        <v>41153</v>
      </c>
      <c r="H90" s="9">
        <v>875</v>
      </c>
      <c r="I90" s="82">
        <f t="shared" si="11"/>
        <v>-5.681818181818182E-3</v>
      </c>
      <c r="J90" s="43">
        <f>_xlfn.STDEV.P(I90:$I$109)</f>
        <v>0.22961280523057062</v>
      </c>
      <c r="K90">
        <f t="shared" si="12"/>
        <v>-5.6980211146377786E-3</v>
      </c>
      <c r="M90" s="16">
        <v>41153</v>
      </c>
      <c r="N90" s="9">
        <v>520</v>
      </c>
      <c r="O90" s="82">
        <f t="shared" si="16"/>
        <v>-6.8100358422939072E-2</v>
      </c>
      <c r="P90" s="44">
        <f>_xlfn.STDEV.P(O90:$O$109)</f>
        <v>0.22715691628067156</v>
      </c>
      <c r="Q90">
        <f t="shared" si="17"/>
        <v>-7.0530150805837868E-2</v>
      </c>
      <c r="R90" s="16">
        <v>41153</v>
      </c>
      <c r="S90" s="60">
        <v>525</v>
      </c>
      <c r="T90" s="82">
        <f t="shared" si="13"/>
        <v>-3.669724770642202E-2</v>
      </c>
      <c r="U90" s="44">
        <f>_xlfn.STDEV.P(T90:$T$109)</f>
        <v>0.225260068871317</v>
      </c>
      <c r="W90" s="16">
        <v>41153</v>
      </c>
      <c r="X90" s="59">
        <v>568</v>
      </c>
      <c r="Y90" s="82">
        <f t="shared" si="14"/>
        <v>-4.2158516020236091E-2</v>
      </c>
      <c r="Z90">
        <f>_xlfn.STDEV.P(Y90:$Y$109)</f>
        <v>0.23170287536208778</v>
      </c>
      <c r="AB90" s="16">
        <v>41153</v>
      </c>
      <c r="AC90" s="59">
        <v>490</v>
      </c>
      <c r="AD90" s="82">
        <f t="shared" si="15"/>
        <v>-5.7692307692307696E-2</v>
      </c>
      <c r="AE90">
        <f>_xlfn.STDEV.P(AD90:$AD$108)</f>
        <v>3.4559778854100283E-2</v>
      </c>
    </row>
    <row r="91" spans="2:31" x14ac:dyDescent="0.2">
      <c r="B91" s="16">
        <v>41244</v>
      </c>
      <c r="C91" s="9">
        <v>720</v>
      </c>
      <c r="D91" s="82">
        <f t="shared" si="9"/>
        <v>0.13564668769716087</v>
      </c>
      <c r="E91" s="43">
        <f>_xlfn.STDEV.P(D91:$D$108)</f>
        <v>0.10352786513623538</v>
      </c>
      <c r="F91">
        <f t="shared" si="10"/>
        <v>0.12720225757287512</v>
      </c>
      <c r="G91" s="16">
        <v>41244</v>
      </c>
      <c r="H91" s="9">
        <v>900</v>
      </c>
      <c r="I91" s="82">
        <f t="shared" si="11"/>
        <v>2.8571428571428571E-2</v>
      </c>
      <c r="J91" s="43">
        <f>_xlfn.STDEV.P(I91:$I$109)</f>
        <v>0.23557101870326796</v>
      </c>
      <c r="K91">
        <f t="shared" si="12"/>
        <v>2.8170876966696224E-2</v>
      </c>
      <c r="M91" s="16">
        <v>41244</v>
      </c>
      <c r="N91" s="9">
        <v>545</v>
      </c>
      <c r="O91" s="82">
        <f t="shared" si="16"/>
        <v>4.807692307692308E-2</v>
      </c>
      <c r="P91" s="44">
        <f>_xlfn.STDEV.P(O91:$O$109)</f>
        <v>0.23293238654850609</v>
      </c>
      <c r="Q91">
        <f t="shared" si="17"/>
        <v>4.6956983087771083E-2</v>
      </c>
      <c r="R91" s="16">
        <v>41244</v>
      </c>
      <c r="S91" s="60">
        <v>560</v>
      </c>
      <c r="T91" s="82">
        <f t="shared" si="13"/>
        <v>6.6666666666666666E-2</v>
      </c>
      <c r="U91" s="44">
        <f>_xlfn.STDEV.P(T91:$T$109)</f>
        <v>0.23110558545943019</v>
      </c>
      <c r="W91" s="16">
        <v>41244</v>
      </c>
      <c r="X91" s="59">
        <v>620</v>
      </c>
      <c r="Y91" s="82">
        <f t="shared" si="14"/>
        <v>9.154929577464789E-2</v>
      </c>
      <c r="Z91">
        <f>_xlfn.STDEV.P(Y91:$Y$109)</f>
        <v>0.23769542838365165</v>
      </c>
      <c r="AB91" s="16">
        <v>41244</v>
      </c>
      <c r="AC91" s="59">
        <v>528</v>
      </c>
      <c r="AD91" s="82">
        <f t="shared" si="15"/>
        <v>7.7551020408163265E-2</v>
      </c>
      <c r="AE91">
        <f>_xlfn.STDEV.P(AD91:$AD$108)</f>
        <v>3.0429886127301606E-2</v>
      </c>
    </row>
    <row r="92" spans="2:31" x14ac:dyDescent="0.2">
      <c r="B92" s="16">
        <v>41334</v>
      </c>
      <c r="C92" s="9">
        <v>645</v>
      </c>
      <c r="D92" s="82">
        <f t="shared" si="9"/>
        <v>-0.10416666666666667</v>
      </c>
      <c r="E92" s="43">
        <f>_xlfn.STDEV.P(D92:$D$108)</f>
        <v>0.10275483719572608</v>
      </c>
      <c r="F92">
        <f t="shared" si="10"/>
        <v>-0.11000089521432846</v>
      </c>
      <c r="G92" s="16">
        <v>41334</v>
      </c>
      <c r="H92" s="9">
        <v>910</v>
      </c>
      <c r="I92" s="82">
        <f t="shared" si="11"/>
        <v>1.1111111111111112E-2</v>
      </c>
      <c r="J92" s="43">
        <f>_xlfn.STDEV.P(I92:$I$109)</f>
        <v>0.24181008805054116</v>
      </c>
      <c r="K92">
        <f t="shared" si="12"/>
        <v>1.1049836186584935E-2</v>
      </c>
      <c r="M92" s="16">
        <v>41334</v>
      </c>
      <c r="N92" s="9">
        <v>545</v>
      </c>
      <c r="O92" s="82">
        <f t="shared" si="16"/>
        <v>0</v>
      </c>
      <c r="P92" s="44">
        <f>_xlfn.STDEV.P(O92:$O$109)</f>
        <v>0.23849101207207365</v>
      </c>
      <c r="Q92">
        <f t="shared" si="17"/>
        <v>0</v>
      </c>
      <c r="R92" s="16">
        <v>41334</v>
      </c>
      <c r="S92" s="60">
        <v>550</v>
      </c>
      <c r="T92" s="82">
        <f t="shared" si="13"/>
        <v>-1.7857142857142856E-2</v>
      </c>
      <c r="U92" s="44">
        <f>_xlfn.STDEV.P(T92:$T$109)</f>
        <v>0.23630495680254091</v>
      </c>
      <c r="W92" s="16">
        <v>41334</v>
      </c>
      <c r="X92" s="59">
        <v>600</v>
      </c>
      <c r="Y92" s="82">
        <f t="shared" si="14"/>
        <v>-3.2258064516129031E-2</v>
      </c>
      <c r="Z92">
        <f>_xlfn.STDEV.P(Y92:$Y$109)</f>
        <v>0.24253776754124082</v>
      </c>
      <c r="AB92" s="16">
        <v>41334</v>
      </c>
      <c r="AC92" s="59">
        <v>520</v>
      </c>
      <c r="AD92" s="82">
        <f t="shared" si="15"/>
        <v>-1.5151515151515152E-2</v>
      </c>
      <c r="AE92">
        <f>_xlfn.STDEV.P(AD92:$AD$108)</f>
        <v>2.8083017944187574E-2</v>
      </c>
    </row>
    <row r="93" spans="2:31" x14ac:dyDescent="0.2">
      <c r="B93" s="16">
        <v>41426</v>
      </c>
      <c r="C93" s="9">
        <v>697</v>
      </c>
      <c r="D93" s="82">
        <f t="shared" si="9"/>
        <v>8.0620155038759689E-2</v>
      </c>
      <c r="E93" s="43">
        <f>_xlfn.STDEV.P(D93:$D$108)</f>
        <v>0.10125758872155188</v>
      </c>
      <c r="F93">
        <f t="shared" si="10"/>
        <v>7.7535093964751445E-2</v>
      </c>
      <c r="G93" s="16">
        <v>41426</v>
      </c>
      <c r="H93" s="9">
        <v>921</v>
      </c>
      <c r="I93" s="82">
        <f t="shared" si="11"/>
        <v>1.2087912087912088E-2</v>
      </c>
      <c r="J93" s="43">
        <f>_xlfn.STDEV.P(I93:$I$109)</f>
        <v>0.24872850193383292</v>
      </c>
      <c r="K93">
        <f t="shared" si="12"/>
        <v>1.2015436744411077E-2</v>
      </c>
      <c r="M93" s="16">
        <v>41426</v>
      </c>
      <c r="N93" s="9">
        <v>590</v>
      </c>
      <c r="O93" s="82">
        <f t="shared" si="16"/>
        <v>8.2568807339449546E-2</v>
      </c>
      <c r="P93" s="44">
        <f>_xlfn.STDEV.P(O93:$O$109)</f>
        <v>0.24521776972825443</v>
      </c>
      <c r="Q93">
        <f t="shared" si="17"/>
        <v>7.9336742236521013E-2</v>
      </c>
      <c r="R93" s="16">
        <v>41426</v>
      </c>
      <c r="S93" s="60">
        <v>575</v>
      </c>
      <c r="T93" s="82">
        <f t="shared" si="13"/>
        <v>4.5454545454545456E-2</v>
      </c>
      <c r="U93" s="44">
        <f>_xlfn.STDEV.P(T93:$T$109)</f>
        <v>0.24312099476766189</v>
      </c>
      <c r="W93" s="16">
        <v>41426</v>
      </c>
      <c r="X93" s="59">
        <v>630</v>
      </c>
      <c r="Y93" s="82">
        <f t="shared" si="14"/>
        <v>0.05</v>
      </c>
      <c r="Z93">
        <f>_xlfn.STDEV.P(Y93:$Y$109)</f>
        <v>0.2495692716294633</v>
      </c>
      <c r="AB93" s="16">
        <v>41426</v>
      </c>
      <c r="AC93" s="59">
        <v>545</v>
      </c>
      <c r="AD93" s="82">
        <f t="shared" si="15"/>
        <v>4.807692307692308E-2</v>
      </c>
      <c r="AE93">
        <f>_xlfn.STDEV.P(AD93:$AD$108)</f>
        <v>2.7593869245957449E-2</v>
      </c>
    </row>
    <row r="94" spans="2:31" x14ac:dyDescent="0.2">
      <c r="B94" s="16">
        <v>41518</v>
      </c>
      <c r="C94" s="9">
        <v>650</v>
      </c>
      <c r="D94" s="82">
        <f t="shared" si="9"/>
        <v>-6.7431850789096123E-2</v>
      </c>
      <c r="E94" s="43">
        <f>_xlfn.STDEV.P(D94:$D$108)</f>
        <v>0.10348034780701465</v>
      </c>
      <c r="F94">
        <f t="shared" si="10"/>
        <v>-6.9813047870841041E-2</v>
      </c>
      <c r="G94" s="16">
        <v>41518</v>
      </c>
      <c r="H94" s="9">
        <v>988</v>
      </c>
      <c r="I94" s="82">
        <f t="shared" si="11"/>
        <v>7.2747014115092296E-2</v>
      </c>
      <c r="J94" s="43">
        <f>_xlfn.STDEV.P(I94:$I$109)</f>
        <v>0.25626932396719199</v>
      </c>
      <c r="K94">
        <f t="shared" si="12"/>
        <v>7.0222661492560998E-2</v>
      </c>
      <c r="M94" s="16">
        <v>41518</v>
      </c>
      <c r="N94" s="9">
        <v>597</v>
      </c>
      <c r="O94" s="82">
        <f t="shared" si="16"/>
        <v>1.1864406779661017E-2</v>
      </c>
      <c r="P94" s="44">
        <f>_xlfn.STDEV.P(O94:$O$109)</f>
        <v>0.2507611163555612</v>
      </c>
      <c r="Q94">
        <f t="shared" si="17"/>
        <v>1.1794576492836877E-2</v>
      </c>
      <c r="R94" s="16">
        <v>41518</v>
      </c>
      <c r="S94" s="60">
        <v>590</v>
      </c>
      <c r="T94" s="82">
        <f t="shared" si="13"/>
        <v>2.6086956521739129E-2</v>
      </c>
      <c r="U94" s="44">
        <f>_xlfn.STDEV.P(T94:$T$109)</f>
        <v>0.24973765193852823</v>
      </c>
      <c r="W94" s="16">
        <v>41518</v>
      </c>
      <c r="X94" s="59">
        <v>650</v>
      </c>
      <c r="Y94" s="82">
        <f t="shared" si="14"/>
        <v>3.1746031746031744E-2</v>
      </c>
      <c r="Z94">
        <f>_xlfn.STDEV.P(Y94:$Y$109)</f>
        <v>0.2563637919725324</v>
      </c>
      <c r="AB94" s="16">
        <v>41518</v>
      </c>
      <c r="AC94" s="59">
        <v>563</v>
      </c>
      <c r="AD94" s="82">
        <f t="shared" si="15"/>
        <v>3.3027522935779818E-2</v>
      </c>
      <c r="AE94">
        <f>_xlfn.STDEV.P(AD94:$AD$108)</f>
        <v>2.7563140233900382E-2</v>
      </c>
    </row>
    <row r="95" spans="2:31" x14ac:dyDescent="0.2">
      <c r="B95" s="16">
        <v>41609</v>
      </c>
      <c r="C95" s="9">
        <v>650</v>
      </c>
      <c r="D95" s="82">
        <f t="shared" si="9"/>
        <v>0</v>
      </c>
      <c r="E95" s="43">
        <f>_xlfn.STDEV.P(D95:$D$108)</f>
        <v>0.10433537684778621</v>
      </c>
      <c r="F95">
        <f t="shared" si="10"/>
        <v>0</v>
      </c>
      <c r="G95" s="16">
        <v>41609</v>
      </c>
      <c r="H95" s="9">
        <v>1101</v>
      </c>
      <c r="I95" s="82">
        <f t="shared" si="11"/>
        <v>0.11437246963562753</v>
      </c>
      <c r="J95" s="43">
        <f>_xlfn.STDEV.P(I95:$I$109)</f>
        <v>0.26352937462380421</v>
      </c>
      <c r="K95">
        <f t="shared" si="12"/>
        <v>0.10829143897481225</v>
      </c>
      <c r="M95" s="16">
        <v>41609</v>
      </c>
      <c r="N95" s="9">
        <v>640</v>
      </c>
      <c r="O95" s="82">
        <f t="shared" si="16"/>
        <v>7.2026800670016752E-2</v>
      </c>
      <c r="P95" s="44">
        <f>_xlfn.STDEV.P(O95:$O$109)</f>
        <v>0.25848603231345413</v>
      </c>
      <c r="Q95">
        <f t="shared" si="17"/>
        <v>6.9551062961115365E-2</v>
      </c>
      <c r="R95" s="16">
        <v>41609</v>
      </c>
      <c r="S95" s="60">
        <v>600</v>
      </c>
      <c r="T95" s="82">
        <f t="shared" si="13"/>
        <v>1.6949152542372881E-2</v>
      </c>
      <c r="U95" s="44">
        <f>_xlfn.STDEV.P(T95:$T$109)</f>
        <v>0.25731862075357775</v>
      </c>
      <c r="W95" s="16">
        <v>41609</v>
      </c>
      <c r="X95" s="59">
        <v>722</v>
      </c>
      <c r="Y95" s="82">
        <f t="shared" si="14"/>
        <v>0.11076923076923077</v>
      </c>
      <c r="Z95">
        <f>_xlfn.STDEV.P(Y95:$Y$109)</f>
        <v>0.26411787916276647</v>
      </c>
      <c r="AB95" s="16">
        <v>41609</v>
      </c>
      <c r="AC95" s="59">
        <v>585</v>
      </c>
      <c r="AD95" s="82">
        <f t="shared" si="15"/>
        <v>3.9076376554174071E-2</v>
      </c>
      <c r="AE95">
        <f>_xlfn.STDEV.P(AD95:$AD$108)</f>
        <v>2.8269436666086289E-2</v>
      </c>
    </row>
    <row r="96" spans="2:31" x14ac:dyDescent="0.2">
      <c r="B96" s="16">
        <v>41699</v>
      </c>
      <c r="C96" s="9">
        <v>698</v>
      </c>
      <c r="D96" s="82">
        <f t="shared" si="9"/>
        <v>7.3846153846153853E-2</v>
      </c>
      <c r="E96" s="43">
        <f>_xlfn.STDEV.P(D96:$D$108)</f>
        <v>0.10800662973295413</v>
      </c>
      <c r="F96">
        <f t="shared" si="10"/>
        <v>7.1246739872689729E-2</v>
      </c>
      <c r="G96" s="16">
        <v>41699</v>
      </c>
      <c r="H96" s="9">
        <v>1150</v>
      </c>
      <c r="I96" s="82">
        <f t="shared" si="11"/>
        <v>4.4504995458673931E-2</v>
      </c>
      <c r="J96" s="43">
        <f>_xlfn.STDEV.P(I96:$I$109)</f>
        <v>0.2700164604652891</v>
      </c>
      <c r="K96">
        <f t="shared" si="12"/>
        <v>4.3543084634615883E-2</v>
      </c>
      <c r="M96" s="16">
        <v>41699</v>
      </c>
      <c r="N96" s="9">
        <v>650</v>
      </c>
      <c r="O96" s="82">
        <f t="shared" si="16"/>
        <v>1.5625E-2</v>
      </c>
      <c r="P96" s="44">
        <f>_xlfn.STDEV.P(O96:$O$109)</f>
        <v>0.2653347475260695</v>
      </c>
      <c r="Q96">
        <f t="shared" si="17"/>
        <v>1.5504186535965254E-2</v>
      </c>
      <c r="R96" s="16">
        <v>41699</v>
      </c>
      <c r="S96" s="60">
        <v>645</v>
      </c>
      <c r="T96" s="82">
        <f t="shared" si="13"/>
        <v>7.4999999999999997E-2</v>
      </c>
      <c r="U96" s="44">
        <f>_xlfn.STDEV.P(T96:$T$109)</f>
        <v>0.26580194586645833</v>
      </c>
      <c r="W96" s="16">
        <v>41699</v>
      </c>
      <c r="X96" s="59">
        <v>680</v>
      </c>
      <c r="Y96" s="82">
        <f t="shared" si="14"/>
        <v>-5.817174515235457E-2</v>
      </c>
      <c r="Z96">
        <f>_xlfn.STDEV.P(Y96:$Y$109)</f>
        <v>0.27007477434648924</v>
      </c>
      <c r="AB96" s="16">
        <v>41699</v>
      </c>
      <c r="AC96" s="59">
        <v>637</v>
      </c>
      <c r="AD96" s="82">
        <f t="shared" si="15"/>
        <v>8.8888888888888892E-2</v>
      </c>
      <c r="AE96">
        <f>_xlfn.STDEV.P(AD96:$AD$108)</f>
        <v>2.8709331407640364E-2</v>
      </c>
    </row>
    <row r="97" spans="2:31" x14ac:dyDescent="0.2">
      <c r="B97" s="16">
        <v>41791</v>
      </c>
      <c r="C97" s="9">
        <v>718</v>
      </c>
      <c r="D97" s="82">
        <f t="shared" si="9"/>
        <v>2.865329512893983E-2</v>
      </c>
      <c r="E97" s="43">
        <f>_xlfn.STDEV.P(D97:$D$108)</f>
        <v>0.11158630738945924</v>
      </c>
      <c r="F97">
        <f t="shared" si="10"/>
        <v>2.8250466285851653E-2</v>
      </c>
      <c r="G97" s="16">
        <v>41791</v>
      </c>
      <c r="H97" s="9">
        <v>1242</v>
      </c>
      <c r="I97" s="82">
        <f t="shared" si="11"/>
        <v>0.08</v>
      </c>
      <c r="J97" s="43">
        <f>_xlfn.STDEV.P(I97:$I$109)</f>
        <v>0.27925925464997176</v>
      </c>
      <c r="K97">
        <f t="shared" si="12"/>
        <v>7.6961041136128394E-2</v>
      </c>
      <c r="M97" s="16">
        <v>41791</v>
      </c>
      <c r="N97" s="9">
        <v>650</v>
      </c>
      <c r="O97" s="82">
        <f t="shared" si="16"/>
        <v>0</v>
      </c>
      <c r="P97" s="44">
        <f>_xlfn.STDEV.P(O97:$O$109)</f>
        <v>0.27445938036575179</v>
      </c>
      <c r="Q97">
        <f t="shared" si="17"/>
        <v>0</v>
      </c>
      <c r="R97" s="16">
        <v>41791</v>
      </c>
      <c r="S97" s="60">
        <v>650</v>
      </c>
      <c r="T97" s="82">
        <f t="shared" si="13"/>
        <v>7.7519379844961239E-3</v>
      </c>
      <c r="U97" s="44">
        <f>_xlfn.STDEV.P(T97:$T$109)</f>
        <v>0.27350966394322179</v>
      </c>
      <c r="W97" s="16">
        <v>41791</v>
      </c>
      <c r="X97" s="59">
        <v>730</v>
      </c>
      <c r="Y97" s="82">
        <f t="shared" si="14"/>
        <v>7.3529411764705885E-2</v>
      </c>
      <c r="Z97">
        <f>_xlfn.STDEV.P(Y97:$Y$109)</f>
        <v>0.28026671601180908</v>
      </c>
      <c r="AB97" s="16">
        <v>41791</v>
      </c>
      <c r="AC97" s="59">
        <v>625</v>
      </c>
      <c r="AD97" s="82">
        <f t="shared" si="15"/>
        <v>-1.8838304552590265E-2</v>
      </c>
      <c r="AE97">
        <f>_xlfn.STDEV.P(AD97:$AD$108)</f>
        <v>2.048978479385322E-2</v>
      </c>
    </row>
    <row r="98" spans="2:31" x14ac:dyDescent="0.2">
      <c r="B98" s="16">
        <v>41883</v>
      </c>
      <c r="C98" s="9">
        <v>730</v>
      </c>
      <c r="D98" s="82">
        <f t="shared" si="9"/>
        <v>1.6713091922005572E-2</v>
      </c>
      <c r="E98" s="43">
        <f>_xlfn.STDEV.P(D98:$D$108)</f>
        <v>0.11654133500728033</v>
      </c>
      <c r="F98">
        <f t="shared" si="10"/>
        <v>1.65749650942126E-2</v>
      </c>
      <c r="G98" s="16">
        <v>41883</v>
      </c>
      <c r="H98" s="9">
        <v>1300</v>
      </c>
      <c r="I98" s="82">
        <f t="shared" si="11"/>
        <v>4.6698872785829307E-2</v>
      </c>
      <c r="J98" s="43">
        <f>_xlfn.STDEV.P(I98:$I$109)</f>
        <v>0.28835074463904353</v>
      </c>
      <c r="K98">
        <f t="shared" si="12"/>
        <v>4.5641280956204018E-2</v>
      </c>
      <c r="M98" s="16">
        <v>41883</v>
      </c>
      <c r="N98" s="9">
        <v>637</v>
      </c>
      <c r="O98" s="82">
        <f t="shared" si="16"/>
        <v>-0.02</v>
      </c>
      <c r="P98" s="44">
        <f>_xlfn.STDEV.P(O98:$O$109)</f>
        <v>0.28495164414404012</v>
      </c>
      <c r="Q98">
        <f t="shared" si="17"/>
        <v>-2.0202707317519466E-2</v>
      </c>
      <c r="R98" s="16">
        <v>41883</v>
      </c>
      <c r="S98" s="60">
        <v>670</v>
      </c>
      <c r="T98" s="82">
        <f t="shared" si="13"/>
        <v>3.0769230769230771E-2</v>
      </c>
      <c r="U98" s="44">
        <f>_xlfn.STDEV.P(T98:$T$109)</f>
        <v>0.28397576283197856</v>
      </c>
      <c r="W98" s="16">
        <v>41883</v>
      </c>
      <c r="X98" s="59">
        <v>733</v>
      </c>
      <c r="Y98" s="82">
        <f t="shared" si="14"/>
        <v>4.10958904109589E-3</v>
      </c>
      <c r="Z98">
        <f>_xlfn.STDEV.P(Y98:$Y$109)</f>
        <v>0.28921416801810818</v>
      </c>
      <c r="AB98" s="16">
        <v>41883</v>
      </c>
      <c r="AC98" s="59">
        <v>648</v>
      </c>
      <c r="AD98" s="82">
        <f t="shared" si="15"/>
        <v>3.6799999999999999E-2</v>
      </c>
      <c r="AE98">
        <f>_xlfn.STDEV.P(AD98:$AD$108)</f>
        <v>1.9308783880193647E-2</v>
      </c>
    </row>
    <row r="99" spans="2:31" x14ac:dyDescent="0.2">
      <c r="B99" s="16">
        <v>41974</v>
      </c>
      <c r="C99" s="9">
        <v>840</v>
      </c>
      <c r="D99" s="82">
        <f t="shared" si="9"/>
        <v>0.15068493150684931</v>
      </c>
      <c r="E99" s="43">
        <f>_xlfn.STDEV.P(D99:$D$108)</f>
        <v>0.12220365018720523</v>
      </c>
      <c r="F99">
        <f t="shared" si="10"/>
        <v>0.14035735769492244</v>
      </c>
      <c r="G99" s="16">
        <v>41974</v>
      </c>
      <c r="H99" s="9">
        <v>1305</v>
      </c>
      <c r="I99" s="82">
        <f t="shared" si="11"/>
        <v>3.8461538461538464E-3</v>
      </c>
      <c r="J99" s="43">
        <f>_xlfn.STDEV.P(I99:$I$109)</f>
        <v>0.29956743013699599</v>
      </c>
      <c r="K99">
        <f t="shared" si="12"/>
        <v>3.8387763071656669E-3</v>
      </c>
      <c r="M99" s="16">
        <v>41974</v>
      </c>
      <c r="N99" s="9">
        <v>650</v>
      </c>
      <c r="O99" s="82">
        <f t="shared" si="16"/>
        <v>2.0408163265306121E-2</v>
      </c>
      <c r="P99" s="44">
        <f>_xlfn.STDEV.P(O99:$O$109)</f>
        <v>0.29715718755514398</v>
      </c>
      <c r="Q99">
        <f t="shared" si="17"/>
        <v>2.0202707317519469E-2</v>
      </c>
      <c r="R99" s="16">
        <v>41974</v>
      </c>
      <c r="S99" s="60">
        <v>700</v>
      </c>
      <c r="T99" s="82">
        <f t="shared" si="13"/>
        <v>4.4776119402985072E-2</v>
      </c>
      <c r="U99" s="44">
        <f>_xlfn.STDEV.P(T99:$T$109)</f>
        <v>0.29508835546179241</v>
      </c>
      <c r="W99" s="16">
        <v>41974</v>
      </c>
      <c r="X99" s="59">
        <v>815</v>
      </c>
      <c r="Y99" s="82">
        <f t="shared" si="14"/>
        <v>0.11186903137789904</v>
      </c>
      <c r="Z99">
        <f>_xlfn.STDEV.P(Y99:$Y$109)</f>
        <v>0.30131672059234543</v>
      </c>
      <c r="AB99" s="16">
        <v>41974</v>
      </c>
      <c r="AC99" s="59">
        <v>645</v>
      </c>
      <c r="AD99" s="82">
        <f t="shared" si="15"/>
        <v>-4.6296296296296294E-3</v>
      </c>
      <c r="AE99">
        <f>_xlfn.STDEV.P(AD99:$AD$108)</f>
        <v>1.8667796453176743E-2</v>
      </c>
    </row>
    <row r="100" spans="2:31" x14ac:dyDescent="0.2">
      <c r="B100" s="16">
        <v>42064</v>
      </c>
      <c r="C100" s="9">
        <v>743</v>
      </c>
      <c r="D100" s="82">
        <f t="shared" si="9"/>
        <v>-0.11547619047619048</v>
      </c>
      <c r="E100" s="43">
        <f>_xlfn.STDEV.P(D100:$D$108)</f>
        <v>0.1210156746766325</v>
      </c>
      <c r="F100">
        <f t="shared" si="10"/>
        <v>-0.12270584711960017</v>
      </c>
      <c r="G100" s="16">
        <v>42064</v>
      </c>
      <c r="H100" s="9">
        <v>1400</v>
      </c>
      <c r="I100" s="82">
        <f t="shared" si="11"/>
        <v>7.2796934865900387E-2</v>
      </c>
      <c r="J100" s="43">
        <f>_xlfn.STDEV.P(I100:$I$109)</f>
        <v>0.31345496601039852</v>
      </c>
      <c r="K100">
        <f t="shared" si="12"/>
        <v>7.0269195846556151E-2</v>
      </c>
      <c r="M100" s="16">
        <v>42064</v>
      </c>
      <c r="N100" s="9">
        <v>660</v>
      </c>
      <c r="O100" s="82">
        <f t="shared" si="16"/>
        <v>1.5384615384615385E-2</v>
      </c>
      <c r="P100" s="44">
        <f>_xlfn.STDEV.P(O100:$O$109)</f>
        <v>0.30996076986116222</v>
      </c>
      <c r="Q100">
        <f t="shared" si="17"/>
        <v>1.5267472130788381E-2</v>
      </c>
      <c r="R100" s="16">
        <v>42064</v>
      </c>
      <c r="S100" s="60">
        <v>700</v>
      </c>
      <c r="T100" s="82">
        <f t="shared" si="13"/>
        <v>0</v>
      </c>
      <c r="U100" s="44">
        <f>_xlfn.STDEV.P(T100:$T$109)</f>
        <v>0.30701907040466336</v>
      </c>
      <c r="W100" s="16">
        <v>42064</v>
      </c>
      <c r="X100" s="59">
        <v>775</v>
      </c>
      <c r="Y100" s="82">
        <f t="shared" si="14"/>
        <v>-4.9079754601226995E-2</v>
      </c>
      <c r="Z100">
        <f>_xlfn.STDEV.P(Y100:$Y$109)</f>
        <v>0.31021653421821327</v>
      </c>
      <c r="AB100" s="16">
        <v>42064</v>
      </c>
      <c r="AC100" s="59">
        <v>660</v>
      </c>
      <c r="AD100" s="82">
        <f t="shared" si="15"/>
        <v>2.3255813953488372E-2</v>
      </c>
      <c r="AE100">
        <f>_xlfn.STDEV.P(AD100:$AD$108)</f>
        <v>1.8919646695116615E-2</v>
      </c>
    </row>
    <row r="101" spans="2:31" x14ac:dyDescent="0.2">
      <c r="B101" s="16">
        <v>42156</v>
      </c>
      <c r="C101" s="9">
        <v>870</v>
      </c>
      <c r="D101" s="82">
        <f t="shared" si="9"/>
        <v>0.17092866756393002</v>
      </c>
      <c r="E101" s="43">
        <f>_xlfn.STDEV.P(D101:$D$108)</f>
        <v>0.11925673766771816</v>
      </c>
      <c r="F101">
        <f t="shared" si="10"/>
        <v>0.15779716693087031</v>
      </c>
      <c r="G101" s="16">
        <v>42156</v>
      </c>
      <c r="H101" s="9">
        <v>1526</v>
      </c>
      <c r="I101" s="82">
        <f t="shared" si="11"/>
        <v>0.09</v>
      </c>
      <c r="J101" s="43">
        <f>_xlfn.STDEV.P(I101:$I$109)</f>
        <v>0.32672098095048063</v>
      </c>
      <c r="K101">
        <f t="shared" si="12"/>
        <v>8.6177696241052412E-2</v>
      </c>
      <c r="M101" s="16">
        <v>42156</v>
      </c>
      <c r="N101" s="9">
        <v>729</v>
      </c>
      <c r="O101" s="82">
        <f t="shared" si="16"/>
        <v>0.10454545454545454</v>
      </c>
      <c r="P101" s="44">
        <f>_xlfn.STDEV.P(O101:$O$109)</f>
        <v>0.32472452008349428</v>
      </c>
      <c r="Q101">
        <f t="shared" si="17"/>
        <v>9.9433896988186873E-2</v>
      </c>
      <c r="R101" s="16">
        <v>42156</v>
      </c>
      <c r="S101" s="60">
        <v>750</v>
      </c>
      <c r="T101" s="82">
        <f t="shared" si="13"/>
        <v>7.1428571428571425E-2</v>
      </c>
      <c r="U101" s="44">
        <f>_xlfn.STDEV.P(T101:$T$109)</f>
        <v>0.32225504039270342</v>
      </c>
      <c r="W101" s="16">
        <v>42156</v>
      </c>
      <c r="X101" s="59">
        <v>870</v>
      </c>
      <c r="Y101" s="82">
        <f t="shared" si="14"/>
        <v>0.12258064516129032</v>
      </c>
      <c r="Z101">
        <f>_xlfn.STDEV.P(Y101:$Y$109)</f>
        <v>0.32670881853171024</v>
      </c>
      <c r="AB101" s="16">
        <v>42156</v>
      </c>
      <c r="AC101" s="59">
        <v>685</v>
      </c>
      <c r="AD101" s="82">
        <f t="shared" si="15"/>
        <v>3.787878787878788E-2</v>
      </c>
      <c r="AE101">
        <f>_xlfn.STDEV.P(AD101:$AD$108)</f>
        <v>1.9655804853524583E-2</v>
      </c>
    </row>
    <row r="102" spans="2:31" x14ac:dyDescent="0.2">
      <c r="B102" s="16">
        <v>42248</v>
      </c>
      <c r="C102" s="9">
        <v>900</v>
      </c>
      <c r="D102" s="82">
        <f t="shared" si="9"/>
        <v>3.4482758620689655E-2</v>
      </c>
      <c r="E102" s="43">
        <f>_xlfn.STDEV.P(D102:$D$108)</f>
        <v>0.1134390425572368</v>
      </c>
      <c r="F102">
        <f t="shared" si="10"/>
        <v>3.3901551675681416E-2</v>
      </c>
      <c r="G102" s="16">
        <v>42248</v>
      </c>
      <c r="H102" s="9">
        <v>1576</v>
      </c>
      <c r="I102" s="82">
        <f t="shared" si="11"/>
        <v>3.2765399737876802E-2</v>
      </c>
      <c r="J102" s="43">
        <f>_xlfn.STDEV.P(I102:$I$109)</f>
        <v>0.34041950050234066</v>
      </c>
      <c r="K102">
        <f t="shared" si="12"/>
        <v>3.2240058573422055E-2</v>
      </c>
      <c r="M102" s="16">
        <v>42248</v>
      </c>
      <c r="N102" s="9">
        <v>722</v>
      </c>
      <c r="O102" s="82">
        <f t="shared" si="16"/>
        <v>-9.6021947873799734E-3</v>
      </c>
      <c r="P102" s="44">
        <f>_xlfn.STDEV.P(O102:$O$109)</f>
        <v>0.33587153334763692</v>
      </c>
      <c r="Q102">
        <f t="shared" si="17"/>
        <v>-9.6485931158319504E-3</v>
      </c>
      <c r="R102" s="16">
        <v>42248</v>
      </c>
      <c r="S102" s="60">
        <v>770</v>
      </c>
      <c r="T102" s="82">
        <f t="shared" si="13"/>
        <v>2.6666666666666668E-2</v>
      </c>
      <c r="U102" s="44">
        <f>_xlfn.STDEV.P(T102:$T$109)</f>
        <v>0.33611820902622175</v>
      </c>
      <c r="W102" s="16">
        <v>42248</v>
      </c>
      <c r="X102" s="59">
        <v>890</v>
      </c>
      <c r="Y102" s="82">
        <f t="shared" si="14"/>
        <v>2.2988505747126436E-2</v>
      </c>
      <c r="Z102">
        <f>_xlfn.STDEV.P(Y102:$Y$109)</f>
        <v>0.33701188608958765</v>
      </c>
      <c r="AB102" s="16">
        <v>42248</v>
      </c>
      <c r="AC102" s="59">
        <v>690</v>
      </c>
      <c r="AD102" s="82">
        <f t="shared" si="15"/>
        <v>7.2992700729927005E-3</v>
      </c>
      <c r="AE102">
        <f>_xlfn.STDEV.P(AD102:$AD$108)</f>
        <v>1.8019371474743088E-2</v>
      </c>
    </row>
    <row r="103" spans="2:31" x14ac:dyDescent="0.2">
      <c r="B103" s="16">
        <v>42339</v>
      </c>
      <c r="C103" s="9">
        <v>880</v>
      </c>
      <c r="D103" s="82">
        <f t="shared" si="9"/>
        <v>-2.2222222222222223E-2</v>
      </c>
      <c r="E103" s="43">
        <f>_xlfn.STDEV.P(D103:$D$108)</f>
        <v>0.12189886076873589</v>
      </c>
      <c r="F103">
        <f t="shared" si="10"/>
        <v>-2.2472855852058628E-2</v>
      </c>
      <c r="G103" s="16">
        <v>42339</v>
      </c>
      <c r="H103" s="9">
        <v>1500</v>
      </c>
      <c r="I103" s="82">
        <f t="shared" si="11"/>
        <v>-4.8223350253807105E-2</v>
      </c>
      <c r="J103" s="43">
        <f>_xlfn.STDEV.P(I103:$I$109)</f>
        <v>0.35967084874701227</v>
      </c>
      <c r="K103">
        <f t="shared" si="12"/>
        <v>-4.9424883327522977E-2</v>
      </c>
      <c r="M103" s="16">
        <v>42339</v>
      </c>
      <c r="N103" s="9">
        <v>651</v>
      </c>
      <c r="O103" s="82">
        <f t="shared" si="16"/>
        <v>-9.833795013850416E-2</v>
      </c>
      <c r="P103" s="44">
        <f>_xlfn.STDEV.P(O103:$O$109)</f>
        <v>0.35606018928215777</v>
      </c>
      <c r="Q103">
        <f t="shared" si="17"/>
        <v>-0.10351549668425705</v>
      </c>
      <c r="R103" s="16">
        <v>42339</v>
      </c>
      <c r="S103" s="60">
        <v>790</v>
      </c>
      <c r="T103" s="82">
        <f t="shared" si="13"/>
        <v>2.5974025974025976E-2</v>
      </c>
      <c r="U103" s="44">
        <f>_xlfn.STDEV.P(T103:$T$109)</f>
        <v>0.35474907154456958</v>
      </c>
      <c r="W103" s="16">
        <v>42339</v>
      </c>
      <c r="X103" s="59">
        <v>910</v>
      </c>
      <c r="Y103" s="82">
        <f t="shared" si="14"/>
        <v>2.247191011235955E-2</v>
      </c>
      <c r="Z103">
        <f>_xlfn.STDEV.P(Y103:$Y$109)</f>
        <v>0.35565993923118949</v>
      </c>
      <c r="AB103" s="16">
        <v>42339</v>
      </c>
      <c r="AC103" s="59">
        <v>690</v>
      </c>
      <c r="AD103" s="82">
        <f t="shared" si="15"/>
        <v>0</v>
      </c>
      <c r="AE103">
        <f>_xlfn.STDEV.P(AD103:$AD$108)</f>
        <v>1.9463145524974874E-2</v>
      </c>
    </row>
    <row r="104" spans="2:31" x14ac:dyDescent="0.2">
      <c r="B104" s="16">
        <v>42430</v>
      </c>
      <c r="C104" s="9">
        <v>875</v>
      </c>
      <c r="D104" s="82">
        <f t="shared" si="9"/>
        <v>-5.681818181818182E-3</v>
      </c>
      <c r="E104" s="43">
        <f>_xlfn.STDEV.P(D104:$D$108)</f>
        <v>0.133019580249851</v>
      </c>
      <c r="F104">
        <f t="shared" si="10"/>
        <v>-5.6980211146377786E-3</v>
      </c>
      <c r="G104" s="16">
        <v>42430</v>
      </c>
      <c r="H104" s="9">
        <v>1523</v>
      </c>
      <c r="I104" s="82">
        <f t="shared" si="11"/>
        <v>1.5333333333333332E-2</v>
      </c>
      <c r="J104" s="43">
        <f>_xlfn.STDEV.P(I104:$I$109)</f>
        <v>0.38704394558894545</v>
      </c>
      <c r="K104">
        <f t="shared" si="12"/>
        <v>1.5216965804860464E-2</v>
      </c>
      <c r="M104" s="16">
        <v>42430</v>
      </c>
      <c r="N104" s="9">
        <v>663</v>
      </c>
      <c r="O104" s="82">
        <f t="shared" si="16"/>
        <v>1.8433179723502304E-2</v>
      </c>
      <c r="P104" s="44">
        <f>_xlfn.STDEV.P(O104:$O$109)</f>
        <v>0.38413623783398959</v>
      </c>
      <c r="Q104">
        <f t="shared" si="17"/>
        <v>1.8265347977293189E-2</v>
      </c>
      <c r="R104" s="16">
        <v>42430</v>
      </c>
      <c r="S104" s="60">
        <v>760</v>
      </c>
      <c r="T104" s="82">
        <f t="shared" si="13"/>
        <v>-3.7974683544303799E-2</v>
      </c>
      <c r="U104" s="44">
        <f>_xlfn.STDEV.P(T104:$T$109)</f>
        <v>0.37653877883765202</v>
      </c>
      <c r="W104" s="16">
        <v>42430</v>
      </c>
      <c r="X104" s="59">
        <v>850</v>
      </c>
      <c r="Y104" s="82">
        <f t="shared" si="14"/>
        <v>-6.5934065934065936E-2</v>
      </c>
      <c r="Z104">
        <f>_xlfn.STDEV.P(Y104:$Y$109)</f>
        <v>0.37744231535421069</v>
      </c>
      <c r="AB104" s="16">
        <v>42430</v>
      </c>
      <c r="AC104" s="59">
        <v>680</v>
      </c>
      <c r="AD104" s="82">
        <f t="shared" si="15"/>
        <v>-1.4492753623188406E-2</v>
      </c>
      <c r="AE104">
        <f>_xlfn.STDEV.P(AD104:$AD$108)</f>
        <v>2.1018255498596296E-2</v>
      </c>
    </row>
    <row r="105" spans="2:31" x14ac:dyDescent="0.2">
      <c r="B105" s="16">
        <v>42522</v>
      </c>
      <c r="C105" s="9">
        <v>1043</v>
      </c>
      <c r="D105" s="82">
        <f t="shared" si="9"/>
        <v>0.192</v>
      </c>
      <c r="E105" s="43">
        <f>_xlfn.STDEV.P(D105:$D$108)</f>
        <v>0.14856576837307828</v>
      </c>
      <c r="F105">
        <f t="shared" si="10"/>
        <v>0.17563256864315796</v>
      </c>
      <c r="G105" s="16">
        <v>42522</v>
      </c>
      <c r="H105" s="9">
        <v>1538</v>
      </c>
      <c r="I105" s="82">
        <f t="shared" si="11"/>
        <v>9.8489822718319103E-3</v>
      </c>
      <c r="J105" s="43">
        <f>_xlfn.STDEV.P(I105:$I$109)</f>
        <v>0.41738414895799358</v>
      </c>
      <c r="K105">
        <f t="shared" si="12"/>
        <v>9.8007971704275141E-3</v>
      </c>
      <c r="M105" s="16">
        <v>42522</v>
      </c>
      <c r="N105" s="9">
        <v>745</v>
      </c>
      <c r="O105" s="82">
        <f t="shared" si="16"/>
        <v>0.12368024132730016</v>
      </c>
      <c r="P105" s="44">
        <f>_xlfn.STDEV.P(O105:$O$109)</f>
        <v>0.41285482977609494</v>
      </c>
      <c r="Q105">
        <f t="shared" si="17"/>
        <v>0.11660922819369701</v>
      </c>
      <c r="R105" s="16">
        <v>42522</v>
      </c>
      <c r="S105" s="60">
        <v>780</v>
      </c>
      <c r="T105" s="82">
        <f t="shared" si="13"/>
        <v>2.6315789473684209E-2</v>
      </c>
      <c r="U105" s="44">
        <f>_xlfn.STDEV.P(T105:$T$109)</f>
        <v>0.40798854517633537</v>
      </c>
      <c r="W105" s="16">
        <v>42522</v>
      </c>
      <c r="X105" s="59">
        <v>885</v>
      </c>
      <c r="Y105" s="82">
        <f t="shared" si="14"/>
        <v>4.1176470588235294E-2</v>
      </c>
      <c r="Z105">
        <f>_xlfn.STDEV.P(Y105:$Y$109)</f>
        <v>0.41050839303693482</v>
      </c>
      <c r="AB105" s="16">
        <v>42522</v>
      </c>
      <c r="AC105" s="59">
        <v>705</v>
      </c>
      <c r="AD105" s="82">
        <f t="shared" si="15"/>
        <v>3.6764705882352942E-2</v>
      </c>
      <c r="AE105">
        <f>_xlfn.STDEV.P(AD105:$AD$108)</f>
        <v>1.9574029721174294E-2</v>
      </c>
    </row>
    <row r="106" spans="2:31" x14ac:dyDescent="0.2">
      <c r="B106" s="16">
        <v>42614</v>
      </c>
      <c r="C106" s="9">
        <v>895</v>
      </c>
      <c r="D106" s="82">
        <f t="shared" si="9"/>
        <v>-0.14189837008628955</v>
      </c>
      <c r="E106" s="43">
        <f>_xlfn.STDEV.P(D106:$D$108)</f>
        <v>0.12092540529192376</v>
      </c>
      <c r="F106">
        <f t="shared" si="10"/>
        <v>-0.15303273672591711</v>
      </c>
      <c r="G106" s="16">
        <v>42614</v>
      </c>
      <c r="H106" s="9">
        <v>1550</v>
      </c>
      <c r="I106" s="82">
        <f t="shared" si="11"/>
        <v>7.8023407022106634E-3</v>
      </c>
      <c r="J106" s="43">
        <f>_xlfn.STDEV.P(I106:$I$109)</f>
        <v>0.45603105155248341</v>
      </c>
      <c r="K106">
        <f t="shared" si="12"/>
        <v>7.7720598477031095E-3</v>
      </c>
      <c r="M106" s="16">
        <v>42614</v>
      </c>
      <c r="N106" s="9">
        <v>731</v>
      </c>
      <c r="O106" s="82">
        <f t="shared" si="16"/>
        <v>-1.8791946308724831E-2</v>
      </c>
      <c r="P106" s="44">
        <f>_xlfn.STDEV.P(O106:$O$109)</f>
        <v>0.42903039080929589</v>
      </c>
      <c r="Q106">
        <f t="shared" si="17"/>
        <v>-1.8970758629781006E-2</v>
      </c>
      <c r="R106" s="16">
        <v>42614</v>
      </c>
      <c r="S106" s="60">
        <v>788</v>
      </c>
      <c r="T106" s="82">
        <f t="shared" si="13"/>
        <v>1.0256410256410256E-2</v>
      </c>
      <c r="U106" s="44">
        <f>_xlfn.STDEV.P(T106:$T$109)</f>
        <v>0.4403381201111618</v>
      </c>
      <c r="W106" s="16">
        <v>42614</v>
      </c>
      <c r="X106" s="59">
        <v>885</v>
      </c>
      <c r="Y106" s="82">
        <f t="shared" si="14"/>
        <v>0</v>
      </c>
      <c r="Z106">
        <f>_xlfn.STDEV.P(Y106:$Y$109)</f>
        <v>0.44090018510956719</v>
      </c>
      <c r="AB106" s="16">
        <v>42614</v>
      </c>
      <c r="AC106" s="59">
        <v>710</v>
      </c>
      <c r="AD106" s="82">
        <f t="shared" si="15"/>
        <v>7.0921985815602835E-3</v>
      </c>
      <c r="AE106">
        <f>_xlfn.STDEV.P(AD106:$AD$108)</f>
        <v>1.709252709749284E-2</v>
      </c>
    </row>
    <row r="107" spans="2:31" x14ac:dyDescent="0.2">
      <c r="B107" s="16">
        <v>42705</v>
      </c>
      <c r="C107" s="9">
        <v>1002</v>
      </c>
      <c r="D107" s="82">
        <f t="shared" si="9"/>
        <v>0.11955307262569832</v>
      </c>
      <c r="E107" s="43">
        <f>_xlfn.STDEV.P(D107:$D$108)</f>
        <v>0.12564479978590307</v>
      </c>
      <c r="F107">
        <f t="shared" si="10"/>
        <v>0.11292956336995477</v>
      </c>
      <c r="G107" s="16">
        <v>42705</v>
      </c>
      <c r="H107" s="9">
        <v>1664</v>
      </c>
      <c r="I107" s="82">
        <f t="shared" si="11"/>
        <v>7.3548387096774193E-2</v>
      </c>
      <c r="J107" s="43">
        <f>_xlfn.STDEV.P(I107:$I$109)</f>
        <v>0.50587956307536219</v>
      </c>
      <c r="K107">
        <f t="shared" si="12"/>
        <v>7.0969411467861551E-2</v>
      </c>
      <c r="M107" s="16">
        <v>42705</v>
      </c>
      <c r="N107" s="9">
        <v>720</v>
      </c>
      <c r="O107" s="82">
        <f t="shared" si="16"/>
        <v>-1.5047879616963064E-2</v>
      </c>
      <c r="P107" s="44">
        <f>_xlfn.STDEV.P(O107:$O$109)</f>
        <v>0.46924255233497675</v>
      </c>
      <c r="Q107">
        <f t="shared" si="17"/>
        <v>-1.5162247739677523E-2</v>
      </c>
      <c r="R107" s="16">
        <v>42705</v>
      </c>
      <c r="S107" s="60">
        <v>840</v>
      </c>
      <c r="T107" s="82">
        <f t="shared" si="13"/>
        <v>6.5989847715736044E-2</v>
      </c>
      <c r="U107" s="44">
        <f>_xlfn.STDEV.P(T107:$T$109)</f>
        <v>0.48033842525236303</v>
      </c>
      <c r="W107" s="16">
        <v>42705</v>
      </c>
      <c r="X107" s="59">
        <v>973</v>
      </c>
      <c r="Y107" s="82">
        <f t="shared" si="14"/>
        <v>9.9435028248587576E-2</v>
      </c>
      <c r="Z107">
        <f>_xlfn.STDEV.P(Y107:$Y$109)</f>
        <v>0.48244416972465842</v>
      </c>
      <c r="AB107" s="16">
        <v>42705</v>
      </c>
      <c r="AC107" s="59">
        <v>730</v>
      </c>
      <c r="AD107" s="82">
        <f t="shared" si="15"/>
        <v>2.8169014084507043E-2</v>
      </c>
      <c r="AE107">
        <f>_xlfn.STDEV.P(AD107:$AD$108)</f>
        <v>2.093382211074667E-2</v>
      </c>
    </row>
    <row r="108" spans="2:31" x14ac:dyDescent="0.2">
      <c r="B108" s="16">
        <v>42795</v>
      </c>
      <c r="C108" s="9">
        <v>870</v>
      </c>
      <c r="D108" s="82">
        <f t="shared" si="9"/>
        <v>-0.1317365269461078</v>
      </c>
      <c r="E108" s="43">
        <f>_xlfn.STDEV.P(D108:$D$108)</f>
        <v>0</v>
      </c>
      <c r="F108">
        <f t="shared" si="10"/>
        <v>-0.14126006999618074</v>
      </c>
      <c r="G108" s="16">
        <v>42795</v>
      </c>
      <c r="H108" s="9">
        <v>1785</v>
      </c>
      <c r="I108" s="82">
        <f t="shared" si="11"/>
        <v>7.2716346153846159E-2</v>
      </c>
      <c r="J108" s="43">
        <f>_xlfn.STDEV.P(I108:$I$109)</f>
        <v>0.53635817307692313</v>
      </c>
      <c r="K108">
        <f t="shared" si="12"/>
        <v>7.0194072832585649E-2</v>
      </c>
      <c r="M108" s="16">
        <v>42795</v>
      </c>
      <c r="N108" s="9">
        <v>724</v>
      </c>
      <c r="O108" s="82">
        <f t="shared" si="16"/>
        <v>5.5555555555555558E-3</v>
      </c>
      <c r="P108" s="44">
        <f>_xlfn.STDEV.P(O108:$O$109)</f>
        <v>0.50277777777777777</v>
      </c>
      <c r="Q108">
        <f t="shared" si="17"/>
        <v>5.5401803756153509E-3</v>
      </c>
      <c r="R108" s="16">
        <v>42795</v>
      </c>
      <c r="S108" s="60">
        <v>810</v>
      </c>
      <c r="T108" s="82">
        <f t="shared" si="13"/>
        <v>-3.5714285714285712E-2</v>
      </c>
      <c r="U108" s="44">
        <f>_xlfn.STDEV.P(T108:$T$109)</f>
        <v>0.4821428571428571</v>
      </c>
      <c r="W108" s="16">
        <v>42795</v>
      </c>
      <c r="X108" s="59">
        <v>900</v>
      </c>
      <c r="Y108" s="82">
        <f t="shared" si="14"/>
        <v>-7.5025693730729703E-2</v>
      </c>
      <c r="Z108">
        <f>_xlfn.STDEV.P(Y108:$Y$109)</f>
        <v>0.46248715313463529</v>
      </c>
      <c r="AB108" s="16">
        <v>42795</v>
      </c>
      <c r="AC108" s="59">
        <v>720</v>
      </c>
      <c r="AD108" s="82">
        <f t="shared" si="15"/>
        <v>-1.3698630136986301E-2</v>
      </c>
      <c r="AE108">
        <f>_xlfn.STDEV.P(AD108:$AD$108)</f>
        <v>0</v>
      </c>
    </row>
    <row r="109" spans="2:31" x14ac:dyDescent="0.2">
      <c r="B109" s="16">
        <v>42887</v>
      </c>
      <c r="C109" s="9" t="s">
        <v>123</v>
      </c>
      <c r="D109" s="82"/>
      <c r="E109" s="43">
        <f>_xlfn.STDEV.P(D$108:$D109)</f>
        <v>0</v>
      </c>
      <c r="F109">
        <f t="shared" si="10"/>
        <v>0</v>
      </c>
      <c r="G109" s="16">
        <v>42887</v>
      </c>
      <c r="I109" s="82">
        <f t="shared" si="11"/>
        <v>-1</v>
      </c>
      <c r="J109" s="43">
        <f>_xlfn.STDEV.P(I109:$I$109)</f>
        <v>0</v>
      </c>
      <c r="M109" s="16">
        <v>42887</v>
      </c>
      <c r="O109" s="82">
        <f t="shared" si="16"/>
        <v>-1</v>
      </c>
      <c r="P109" s="44">
        <f>_xlfn.STDEV.P(O109:$O$109)</f>
        <v>0</v>
      </c>
      <c r="R109" s="16">
        <v>42887</v>
      </c>
      <c r="T109" s="82">
        <f t="shared" si="13"/>
        <v>-1</v>
      </c>
      <c r="U109" s="44">
        <f>_xlfn.STDEV.P(T109:$T$109)</f>
        <v>0</v>
      </c>
      <c r="W109" s="16">
        <v>42887</v>
      </c>
      <c r="Y109" s="82">
        <f t="shared" si="14"/>
        <v>-1</v>
      </c>
      <c r="Z109">
        <f>_xlfn.STDEV.P(Y109:$Y$109)</f>
        <v>0</v>
      </c>
      <c r="AB109" s="16">
        <v>42887</v>
      </c>
      <c r="AC109" s="59" t="s">
        <v>123</v>
      </c>
      <c r="AD109" s="82"/>
      <c r="AE109">
        <f>_xlfn.STDEV.P(AD$108:$AD109)</f>
        <v>0</v>
      </c>
    </row>
    <row r="110" spans="2:31" x14ac:dyDescent="0.2">
      <c r="J110" s="4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opLeftCell="A14" workbookViewId="0">
      <selection activeCell="I6" sqref="I6:K7"/>
    </sheetView>
  </sheetViews>
  <sheetFormatPr baseColWidth="10" defaultRowHeight="15" x14ac:dyDescent="0.2"/>
  <sheetData>
    <row r="1" spans="1:11" x14ac:dyDescent="0.2">
      <c r="A1" s="3" t="s">
        <v>96</v>
      </c>
      <c r="B1" s="80" t="s">
        <v>4</v>
      </c>
      <c r="C1" s="80" t="s">
        <v>175</v>
      </c>
      <c r="D1" t="s">
        <v>176</v>
      </c>
      <c r="E1" t="s">
        <v>97</v>
      </c>
      <c r="F1" t="s">
        <v>194</v>
      </c>
      <c r="G1" t="s">
        <v>194</v>
      </c>
    </row>
    <row r="2" spans="1:11" x14ac:dyDescent="0.2">
      <c r="A2" s="16">
        <v>33390</v>
      </c>
      <c r="B2" s="80">
        <v>-5.681818181818182E-3</v>
      </c>
      <c r="C2" s="80">
        <v>-1.1299435028248588E-2</v>
      </c>
      <c r="D2" s="80"/>
      <c r="E2" s="80">
        <v>3.3333333333333333E-2</v>
      </c>
      <c r="F2" s="80">
        <v>2.6490066225165563E-2</v>
      </c>
      <c r="G2" s="80">
        <v>3.7037037037037035E-2</v>
      </c>
    </row>
    <row r="3" spans="1:11" x14ac:dyDescent="0.2">
      <c r="A3" s="16">
        <v>33482</v>
      </c>
      <c r="B3" s="80">
        <v>2.8571428571428571E-2</v>
      </c>
      <c r="C3" s="80">
        <v>2.8571428571428571E-2</v>
      </c>
      <c r="D3" s="80"/>
      <c r="E3" s="80">
        <v>1.935483870967742E-2</v>
      </c>
      <c r="F3" s="80">
        <v>3.2258064516129031E-2</v>
      </c>
      <c r="G3" s="80">
        <v>-2.1428571428571429E-2</v>
      </c>
    </row>
    <row r="4" spans="1:11" x14ac:dyDescent="0.2">
      <c r="A4" s="16">
        <v>33573</v>
      </c>
      <c r="B4" s="80">
        <v>2.7777777777777776E-2</v>
      </c>
      <c r="C4" s="80">
        <v>0.1111111111111111</v>
      </c>
      <c r="D4" s="80"/>
      <c r="E4" s="80">
        <v>4.4303797468354431E-2</v>
      </c>
      <c r="F4" s="80">
        <v>8.1250000000000003E-2</v>
      </c>
      <c r="G4" s="80">
        <v>8.0291970802919707E-2</v>
      </c>
    </row>
    <row r="5" spans="1:11" x14ac:dyDescent="0.2">
      <c r="A5" s="16">
        <v>33664</v>
      </c>
      <c r="B5" s="80">
        <v>-1.6216216216216217E-2</v>
      </c>
      <c r="C5" s="80">
        <v>9.5000000000000001E-2</v>
      </c>
      <c r="D5" s="80">
        <v>-1.9607843137254902E-2</v>
      </c>
      <c r="E5" s="80">
        <v>-3.0303030303030304E-2</v>
      </c>
      <c r="F5" s="80">
        <v>-1.7341040462427744E-2</v>
      </c>
      <c r="G5" s="80">
        <v>-2.0270270270270271E-2</v>
      </c>
    </row>
    <row r="6" spans="1:11" x14ac:dyDescent="0.2">
      <c r="A6" s="16">
        <v>33756</v>
      </c>
      <c r="B6" s="80">
        <v>1.6483516483516484E-2</v>
      </c>
      <c r="C6" s="80">
        <v>4.5662100456621002E-3</v>
      </c>
      <c r="D6" s="80">
        <v>2.6666666666666668E-2</v>
      </c>
      <c r="E6" s="80">
        <v>3.125E-2</v>
      </c>
      <c r="F6" s="80">
        <v>2.9411764705882353E-2</v>
      </c>
      <c r="G6" s="80">
        <v>2.0689655172413793E-2</v>
      </c>
      <c r="I6" t="s">
        <v>174</v>
      </c>
      <c r="J6" s="80" t="s">
        <v>175</v>
      </c>
      <c r="K6" t="s">
        <v>176</v>
      </c>
    </row>
    <row r="7" spans="1:11" x14ac:dyDescent="0.2">
      <c r="A7" s="16">
        <v>33848</v>
      </c>
      <c r="B7" s="80">
        <v>1.0810810810810811E-2</v>
      </c>
      <c r="C7" s="80">
        <v>-4.5454545454545456E-2</v>
      </c>
      <c r="D7" s="80">
        <v>3.2467532467532464E-2</v>
      </c>
      <c r="E7" s="80">
        <v>0</v>
      </c>
      <c r="F7" s="80">
        <v>0</v>
      </c>
      <c r="G7" s="80">
        <v>1.3513513513513514E-2</v>
      </c>
      <c r="I7">
        <v>0.7137647094362366</v>
      </c>
      <c r="J7">
        <v>0.37809188887588657</v>
      </c>
      <c r="K7">
        <v>0.57249190352463031</v>
      </c>
    </row>
    <row r="8" spans="1:11" x14ac:dyDescent="0.2">
      <c r="A8" s="16">
        <v>33939</v>
      </c>
      <c r="B8" s="80">
        <v>4.2780748663101602E-2</v>
      </c>
      <c r="C8" s="80">
        <v>0.10952380952380952</v>
      </c>
      <c r="D8" s="80">
        <v>6.2893081761006293E-3</v>
      </c>
      <c r="E8" s="80">
        <v>1.2121212121212121E-2</v>
      </c>
      <c r="F8" s="80">
        <v>0</v>
      </c>
      <c r="G8" s="80">
        <v>3.3333333333333333E-2</v>
      </c>
    </row>
    <row r="9" spans="1:11" x14ac:dyDescent="0.2">
      <c r="A9" s="16">
        <v>34029</v>
      </c>
      <c r="B9" s="80">
        <v>-1.5384615384615385E-2</v>
      </c>
      <c r="C9" s="80">
        <v>-1.2875536480686695E-2</v>
      </c>
      <c r="D9" s="80">
        <v>2.5000000000000001E-2</v>
      </c>
      <c r="E9" s="80">
        <v>-1.1976047904191617E-2</v>
      </c>
      <c r="F9" s="80">
        <v>-2.2857142857142857E-2</v>
      </c>
      <c r="G9" s="80">
        <v>-6.4516129032258064E-3</v>
      </c>
    </row>
    <row r="10" spans="1:11" x14ac:dyDescent="0.2">
      <c r="A10" s="16">
        <v>34121</v>
      </c>
      <c r="B10" s="80">
        <v>1.5625E-2</v>
      </c>
      <c r="C10" s="80">
        <v>2.1739130434782608E-2</v>
      </c>
      <c r="D10" s="80">
        <v>-9.1463414634146339E-2</v>
      </c>
      <c r="E10" s="80">
        <v>3.0303030303030304E-2</v>
      </c>
      <c r="F10" s="80">
        <v>3.5087719298245612E-2</v>
      </c>
      <c r="G10" s="80">
        <v>6.4935064935064939E-3</v>
      </c>
    </row>
    <row r="11" spans="1:11" x14ac:dyDescent="0.2">
      <c r="A11" s="16">
        <v>34213</v>
      </c>
      <c r="B11" s="80">
        <v>3.0769230769230771E-2</v>
      </c>
      <c r="C11" s="80">
        <v>-1.276595744680851E-2</v>
      </c>
      <c r="D11" s="80">
        <v>2.6845637583892617E-2</v>
      </c>
      <c r="E11" s="80">
        <v>0</v>
      </c>
      <c r="F11" s="80">
        <v>0</v>
      </c>
      <c r="G11" s="80">
        <v>6.4516129032258064E-3</v>
      </c>
    </row>
    <row r="12" spans="1:11" x14ac:dyDescent="0.2">
      <c r="A12" s="16">
        <v>34304</v>
      </c>
      <c r="B12" s="80">
        <v>-1.4925373134328358E-2</v>
      </c>
      <c r="C12" s="80">
        <v>2.5862068965517241E-2</v>
      </c>
      <c r="D12" s="80">
        <v>0</v>
      </c>
      <c r="E12" s="80">
        <v>0</v>
      </c>
      <c r="F12" s="80">
        <v>1.6949152542372881E-2</v>
      </c>
      <c r="G12" s="80">
        <v>-6.41025641025641E-3</v>
      </c>
    </row>
    <row r="13" spans="1:11" x14ac:dyDescent="0.2">
      <c r="A13" s="16">
        <v>34394</v>
      </c>
      <c r="B13" s="80">
        <v>1.0101010101010102E-2</v>
      </c>
      <c r="C13" s="80">
        <v>0</v>
      </c>
      <c r="D13" s="80">
        <v>0</v>
      </c>
      <c r="E13" s="80">
        <v>2.9411764705882353E-2</v>
      </c>
      <c r="F13" s="80">
        <v>1.1111111111111112E-2</v>
      </c>
      <c r="G13" s="80">
        <v>1.935483870967742E-2</v>
      </c>
    </row>
    <row r="14" spans="1:11" x14ac:dyDescent="0.2">
      <c r="A14" s="16">
        <v>34486</v>
      </c>
      <c r="B14" s="80">
        <v>2.5000000000000001E-2</v>
      </c>
      <c r="C14" s="80">
        <v>5.0420168067226892E-2</v>
      </c>
      <c r="D14" s="80">
        <v>2.6143790849673203E-2</v>
      </c>
      <c r="E14" s="80">
        <v>0</v>
      </c>
      <c r="F14" s="80">
        <v>1.098901098901099E-2</v>
      </c>
      <c r="G14" s="80">
        <v>6.3291139240506328E-3</v>
      </c>
    </row>
    <row r="15" spans="1:11" x14ac:dyDescent="0.2">
      <c r="A15" s="16">
        <v>34578</v>
      </c>
      <c r="B15" s="80">
        <v>7.3170731707317069E-2</v>
      </c>
      <c r="C15" s="80">
        <v>7.1999999999999995E-2</v>
      </c>
      <c r="D15" s="80">
        <v>4.4585987261146494E-2</v>
      </c>
      <c r="E15" s="80">
        <v>5.7142857142857141E-2</v>
      </c>
      <c r="F15" s="80">
        <v>4.8913043478260872E-2</v>
      </c>
      <c r="G15" s="80">
        <v>6.9182389937106917E-2</v>
      </c>
    </row>
    <row r="16" spans="1:11" x14ac:dyDescent="0.2">
      <c r="A16" s="16">
        <v>34669</v>
      </c>
      <c r="B16" s="80">
        <v>-2.7272727272727271E-2</v>
      </c>
      <c r="C16" s="80">
        <v>0</v>
      </c>
      <c r="D16" s="80">
        <v>-3.048780487804878E-2</v>
      </c>
      <c r="E16" s="80">
        <v>1.0810810810810811E-2</v>
      </c>
      <c r="F16" s="80">
        <v>3.6269430051813469E-2</v>
      </c>
      <c r="G16" s="80">
        <v>1.7647058823529412E-2</v>
      </c>
      <c r="J16" t="s">
        <v>4</v>
      </c>
      <c r="K16" t="s">
        <v>97</v>
      </c>
    </row>
    <row r="17" spans="1:11" x14ac:dyDescent="0.2">
      <c r="A17" s="16">
        <v>34759</v>
      </c>
      <c r="B17" s="80">
        <v>8.4112149532710276E-2</v>
      </c>
      <c r="C17" s="80">
        <v>-1.8656716417910446E-2</v>
      </c>
      <c r="D17" s="80">
        <v>2.5157232704402517E-2</v>
      </c>
      <c r="E17" s="80">
        <v>-1.6042780748663103E-2</v>
      </c>
      <c r="F17" s="80">
        <v>-0.04</v>
      </c>
      <c r="G17" s="80">
        <v>-5.7803468208092483E-3</v>
      </c>
      <c r="J17">
        <v>3.3216938125983093</v>
      </c>
      <c r="K17">
        <v>3.6703661636615892</v>
      </c>
    </row>
    <row r="18" spans="1:11" x14ac:dyDescent="0.2">
      <c r="A18" s="16">
        <v>34851</v>
      </c>
      <c r="B18" s="80">
        <v>-2.5862068965517241E-2</v>
      </c>
      <c r="C18" s="80">
        <v>2.6615969581749048E-2</v>
      </c>
      <c r="D18" s="80">
        <v>-1.8404907975460124E-2</v>
      </c>
      <c r="E18" s="80">
        <v>1.6304347826086956E-2</v>
      </c>
      <c r="F18" s="80">
        <v>3.125E-2</v>
      </c>
      <c r="G18" s="80">
        <v>5.8139534883720929E-3</v>
      </c>
    </row>
    <row r="19" spans="1:11" x14ac:dyDescent="0.2">
      <c r="A19" s="16">
        <v>34943</v>
      </c>
      <c r="B19" s="80">
        <v>2.6548672566371681E-2</v>
      </c>
      <c r="C19" s="80">
        <v>-1.8518518518518517E-2</v>
      </c>
      <c r="D19" s="80">
        <v>2.5000000000000001E-2</v>
      </c>
      <c r="E19" s="80">
        <v>-5.3475935828877002E-3</v>
      </c>
      <c r="F19" s="80">
        <v>-5.0505050505050509E-3</v>
      </c>
      <c r="G19" s="80">
        <v>0</v>
      </c>
    </row>
    <row r="20" spans="1:11" x14ac:dyDescent="0.2">
      <c r="A20" s="16">
        <v>35034</v>
      </c>
      <c r="B20" s="80">
        <v>-4.7413793103448273E-2</v>
      </c>
      <c r="C20" s="80">
        <v>-4.1509433962264149E-2</v>
      </c>
      <c r="D20" s="80">
        <v>-4.878048780487805E-2</v>
      </c>
      <c r="E20" s="80">
        <v>2.1505376344086023E-2</v>
      </c>
      <c r="F20" s="80">
        <v>1.5228426395939087E-2</v>
      </c>
      <c r="G20" s="80">
        <v>2.3121387283236993E-2</v>
      </c>
    </row>
    <row r="21" spans="1:11" x14ac:dyDescent="0.2">
      <c r="A21" s="16">
        <v>35125</v>
      </c>
      <c r="B21" s="80">
        <v>3.1674208144796379E-2</v>
      </c>
      <c r="C21" s="80">
        <v>1.5748031496062992E-2</v>
      </c>
      <c r="D21" s="80">
        <v>3.8461538461538464E-2</v>
      </c>
      <c r="E21" s="80">
        <v>0</v>
      </c>
      <c r="F21" s="80">
        <v>0</v>
      </c>
      <c r="G21" s="80">
        <v>1.1299435028248588E-2</v>
      </c>
    </row>
    <row r="22" spans="1:11" x14ac:dyDescent="0.2">
      <c r="A22" s="16">
        <v>35217</v>
      </c>
      <c r="B22" s="80">
        <v>-2.1929824561403508E-2</v>
      </c>
      <c r="C22" s="80">
        <v>-3.875968992248062E-3</v>
      </c>
      <c r="D22" s="80">
        <v>-1.2345679012345678E-2</v>
      </c>
      <c r="E22" s="80">
        <v>4.2105263157894736E-2</v>
      </c>
      <c r="F22" s="80">
        <v>0.05</v>
      </c>
      <c r="G22" s="80">
        <v>1.11731843575419E-2</v>
      </c>
      <c r="I22" t="s">
        <v>174</v>
      </c>
      <c r="J22" s="80" t="s">
        <v>175</v>
      </c>
      <c r="K22" t="s">
        <v>176</v>
      </c>
    </row>
    <row r="23" spans="1:11" x14ac:dyDescent="0.2">
      <c r="A23" s="16">
        <v>35309</v>
      </c>
      <c r="B23" s="80">
        <v>0</v>
      </c>
      <c r="C23" s="80">
        <v>3.1128404669260701E-2</v>
      </c>
      <c r="D23" s="80">
        <v>6.25E-2</v>
      </c>
      <c r="E23" s="80">
        <v>1.0101010101010102E-2</v>
      </c>
      <c r="F23" s="80">
        <v>9.5238095238095247E-3</v>
      </c>
      <c r="G23" s="80">
        <v>2.2099447513812154E-2</v>
      </c>
      <c r="I23">
        <v>3.0420362423915481</v>
      </c>
      <c r="J23">
        <v>5.5885441161513416</v>
      </c>
      <c r="K23">
        <v>3.0664526177204605</v>
      </c>
    </row>
    <row r="24" spans="1:11" x14ac:dyDescent="0.2">
      <c r="A24" s="16">
        <v>35400</v>
      </c>
      <c r="B24" s="80">
        <v>2.2421524663677129E-2</v>
      </c>
      <c r="C24" s="80">
        <v>1.8867924528301886E-2</v>
      </c>
      <c r="D24" s="80">
        <v>0</v>
      </c>
      <c r="E24" s="80">
        <v>7.0000000000000007E-2</v>
      </c>
      <c r="F24" s="80">
        <v>5.1886792452830191E-2</v>
      </c>
      <c r="G24" s="80">
        <v>8.1081081081081086E-2</v>
      </c>
    </row>
    <row r="25" spans="1:11" x14ac:dyDescent="0.2">
      <c r="A25" s="16">
        <v>35490</v>
      </c>
      <c r="B25" s="80">
        <v>1.7543859649122806E-2</v>
      </c>
      <c r="C25" s="80">
        <v>5.5555555555555552E-2</v>
      </c>
      <c r="D25" s="80">
        <v>2.9411764705882353E-2</v>
      </c>
      <c r="E25" s="80">
        <v>4.6728971962616819E-3</v>
      </c>
      <c r="F25" s="80">
        <v>0</v>
      </c>
      <c r="G25" s="80">
        <v>0.01</v>
      </c>
    </row>
    <row r="26" spans="1:11" x14ac:dyDescent="0.2">
      <c r="A26" s="16">
        <v>35582</v>
      </c>
      <c r="B26" s="80">
        <v>4.7413793103448273E-2</v>
      </c>
      <c r="C26" s="80">
        <v>5.2631578947368418E-2</v>
      </c>
      <c r="D26" s="80">
        <v>0.12</v>
      </c>
      <c r="E26" s="80">
        <v>2.7906976744186046E-2</v>
      </c>
      <c r="F26" s="80">
        <v>3.1390134529147982E-2</v>
      </c>
      <c r="G26" s="80">
        <v>3.9603960396039604E-2</v>
      </c>
    </row>
    <row r="27" spans="1:11" x14ac:dyDescent="0.2">
      <c r="A27" s="16">
        <v>35674</v>
      </c>
      <c r="B27" s="80">
        <v>9.0534979423868317E-2</v>
      </c>
      <c r="C27" s="80">
        <v>6.6666666666666666E-2</v>
      </c>
      <c r="D27" s="80">
        <v>5.6122448979591837E-2</v>
      </c>
      <c r="E27" s="80">
        <v>3.1674208144796379E-2</v>
      </c>
      <c r="F27" s="80">
        <v>2.1739130434782608E-2</v>
      </c>
      <c r="G27" s="80">
        <v>4.7619047619047616E-2</v>
      </c>
    </row>
    <row r="28" spans="1:11" x14ac:dyDescent="0.2">
      <c r="A28" s="16">
        <v>35765</v>
      </c>
      <c r="B28" s="80">
        <v>3.3962264150943396E-2</v>
      </c>
      <c r="C28" s="80">
        <v>2.1874999999999999E-2</v>
      </c>
      <c r="D28" s="80">
        <v>3.3816425120772944E-2</v>
      </c>
      <c r="E28" s="80">
        <v>3.5087719298245612E-2</v>
      </c>
      <c r="F28" s="80">
        <v>4.2553191489361701E-2</v>
      </c>
      <c r="G28" s="80">
        <v>3.1818181818181815E-2</v>
      </c>
    </row>
    <row r="29" spans="1:11" x14ac:dyDescent="0.2">
      <c r="A29" s="16">
        <v>35855</v>
      </c>
      <c r="B29" s="80">
        <v>7.2992700729927005E-3</v>
      </c>
      <c r="C29" s="80">
        <v>3.3639143730886847E-2</v>
      </c>
      <c r="D29" s="80">
        <v>-9.8130841121495324E-2</v>
      </c>
      <c r="E29" s="80">
        <v>-1.2711864406779662E-2</v>
      </c>
      <c r="F29" s="80">
        <v>-2.0408163265306121E-2</v>
      </c>
      <c r="G29" s="80">
        <v>-8.8105726872246704E-3</v>
      </c>
    </row>
    <row r="30" spans="1:11" x14ac:dyDescent="0.2">
      <c r="A30" s="16">
        <v>35947</v>
      </c>
      <c r="B30" s="80">
        <v>7.246376811594203E-3</v>
      </c>
      <c r="C30" s="80">
        <v>8.8757396449704144E-3</v>
      </c>
      <c r="D30" s="80">
        <v>0.11917098445595854</v>
      </c>
      <c r="E30" s="80">
        <v>3.0042918454935622E-2</v>
      </c>
      <c r="F30" s="80">
        <v>4.1666666666666664E-2</v>
      </c>
      <c r="G30" s="80">
        <v>2.2222222222222223E-2</v>
      </c>
    </row>
    <row r="31" spans="1:11" x14ac:dyDescent="0.2">
      <c r="A31" s="16">
        <v>36039</v>
      </c>
      <c r="B31" s="80">
        <v>-7.1942446043165471E-3</v>
      </c>
      <c r="C31" s="80">
        <v>-5.8651026392961877E-3</v>
      </c>
      <c r="D31" s="80">
        <v>-7.407407407407407E-2</v>
      </c>
      <c r="E31" s="80">
        <v>0</v>
      </c>
      <c r="F31" s="80">
        <v>-0.02</v>
      </c>
      <c r="G31" s="80">
        <v>8.6956521739130436E-3</v>
      </c>
    </row>
    <row r="32" spans="1:11" x14ac:dyDescent="0.2">
      <c r="A32" s="16">
        <v>36130</v>
      </c>
      <c r="B32" s="80">
        <v>1.4492753623188406E-2</v>
      </c>
      <c r="C32" s="80">
        <v>3.2448377581120944E-2</v>
      </c>
      <c r="D32" s="80">
        <v>0.125</v>
      </c>
      <c r="E32" s="80">
        <v>4.1666666666666664E-2</v>
      </c>
      <c r="F32" s="80">
        <v>6.1224489795918366E-2</v>
      </c>
      <c r="G32" s="80">
        <v>3.4482758620689655E-2</v>
      </c>
    </row>
    <row r="33" spans="1:7" x14ac:dyDescent="0.2">
      <c r="A33" s="16">
        <v>36220</v>
      </c>
      <c r="B33" s="80">
        <v>0.10357142857142858</v>
      </c>
      <c r="C33" s="80">
        <v>2.8571428571428571E-2</v>
      </c>
      <c r="D33" s="80">
        <v>0</v>
      </c>
      <c r="E33" s="80">
        <v>0</v>
      </c>
      <c r="F33" s="80">
        <v>-7.6923076923076927E-3</v>
      </c>
      <c r="G33" s="80">
        <v>1.2500000000000001E-2</v>
      </c>
    </row>
    <row r="34" spans="1:7" x14ac:dyDescent="0.2">
      <c r="A34" s="16">
        <v>36312</v>
      </c>
      <c r="B34" s="80">
        <v>2.2653721682847898E-2</v>
      </c>
      <c r="C34" s="80">
        <v>4.1666666666666664E-2</v>
      </c>
      <c r="D34" s="80">
        <v>8.8888888888888889E-3</v>
      </c>
      <c r="E34" s="80">
        <v>0.06</v>
      </c>
      <c r="F34" s="80">
        <v>6.589147286821706E-2</v>
      </c>
      <c r="G34" s="80">
        <v>4.1152263374485597E-2</v>
      </c>
    </row>
    <row r="35" spans="1:7" x14ac:dyDescent="0.2">
      <c r="A35" s="16">
        <v>36404</v>
      </c>
      <c r="B35" s="80">
        <v>-3.1645569620253164E-3</v>
      </c>
      <c r="C35" s="80">
        <v>1.3333333333333334E-2</v>
      </c>
      <c r="D35" s="80">
        <v>-2.643171806167401E-2</v>
      </c>
      <c r="E35" s="80">
        <v>1.8867924528301886E-2</v>
      </c>
      <c r="F35" s="80">
        <v>7.2727272727272727E-3</v>
      </c>
      <c r="G35" s="80">
        <v>2.766798418972332E-2</v>
      </c>
    </row>
    <row r="36" spans="1:7" x14ac:dyDescent="0.2">
      <c r="A36" s="16">
        <v>36495</v>
      </c>
      <c r="B36" s="80">
        <v>2.5396825396825397E-2</v>
      </c>
      <c r="C36" s="80">
        <v>1.3157894736842105E-2</v>
      </c>
      <c r="D36" s="80">
        <v>4.072398190045249E-2</v>
      </c>
      <c r="E36" s="80">
        <v>3.7037037037037035E-2</v>
      </c>
      <c r="F36" s="80">
        <v>5.7761732851985562E-2</v>
      </c>
      <c r="G36" s="80">
        <v>1.9230769230769232E-2</v>
      </c>
    </row>
    <row r="37" spans="1:7" x14ac:dyDescent="0.2">
      <c r="A37" s="16">
        <v>36586</v>
      </c>
      <c r="B37" s="80">
        <v>1.5479876160990712E-2</v>
      </c>
      <c r="C37" s="80">
        <v>1.2987012987012988E-2</v>
      </c>
      <c r="D37" s="80">
        <v>7.8260869565217397E-2</v>
      </c>
      <c r="E37" s="80">
        <v>-3.5714285714285713E-3</v>
      </c>
      <c r="F37" s="80">
        <v>-2.7303754266211604E-2</v>
      </c>
      <c r="G37" s="80">
        <v>1.8867924528301886E-2</v>
      </c>
    </row>
    <row r="38" spans="1:7" x14ac:dyDescent="0.2">
      <c r="A38" s="16">
        <v>36678</v>
      </c>
      <c r="B38" s="80">
        <v>8.5365853658536592E-2</v>
      </c>
      <c r="C38" s="80">
        <v>6.4102564102564097E-2</v>
      </c>
      <c r="D38" s="80">
        <v>-1.2096774193548387E-2</v>
      </c>
      <c r="E38" s="80">
        <v>5.7347670250896057E-2</v>
      </c>
      <c r="F38" s="80">
        <v>8.771929824561403E-2</v>
      </c>
      <c r="G38" s="80">
        <v>2.9629629629629631E-2</v>
      </c>
    </row>
    <row r="39" spans="1:7" x14ac:dyDescent="0.2">
      <c r="A39" s="16">
        <v>36770</v>
      </c>
      <c r="B39" s="80">
        <v>-6.4606741573033713E-2</v>
      </c>
      <c r="C39" s="80">
        <v>-6.0240963855421686E-2</v>
      </c>
      <c r="D39" s="80">
        <v>-2.0408163265306121E-2</v>
      </c>
      <c r="E39" s="80">
        <v>-6.7796610169491525E-2</v>
      </c>
      <c r="F39" s="80">
        <v>-9.0322580645161285E-2</v>
      </c>
      <c r="G39" s="80">
        <v>-4.6762589928057555E-2</v>
      </c>
    </row>
    <row r="40" spans="1:7" x14ac:dyDescent="0.2">
      <c r="A40" s="16">
        <v>36861</v>
      </c>
      <c r="B40" s="80">
        <v>2.1021021021021023E-2</v>
      </c>
      <c r="C40" s="80">
        <v>4.3589743589743588E-2</v>
      </c>
      <c r="D40" s="80">
        <v>6.25E-2</v>
      </c>
      <c r="E40" s="80">
        <v>6.545454545454546E-2</v>
      </c>
      <c r="F40" s="80">
        <v>7.4468085106382975E-2</v>
      </c>
      <c r="G40" s="80">
        <v>6.0377358490566038E-2</v>
      </c>
    </row>
    <row r="41" spans="1:7" x14ac:dyDescent="0.2">
      <c r="A41" s="16">
        <v>36951</v>
      </c>
      <c r="B41" s="80">
        <v>2.9411764705882353E-2</v>
      </c>
      <c r="C41" s="80">
        <v>7.3710073710073713E-3</v>
      </c>
      <c r="D41" s="80">
        <v>2.3529411764705882E-2</v>
      </c>
      <c r="E41" s="80">
        <v>2.0477815699658702E-2</v>
      </c>
      <c r="F41" s="80">
        <v>2.3102310231023101E-2</v>
      </c>
      <c r="G41" s="80">
        <v>2.491103202846975E-2</v>
      </c>
    </row>
    <row r="42" spans="1:7" x14ac:dyDescent="0.2">
      <c r="A42" s="16">
        <v>37043</v>
      </c>
      <c r="B42" s="80">
        <v>6.8571428571428575E-2</v>
      </c>
      <c r="C42" s="80">
        <v>0.10975609756097561</v>
      </c>
      <c r="D42" s="80">
        <v>0.14559386973180077</v>
      </c>
      <c r="E42" s="80">
        <v>5.6856187290969896E-2</v>
      </c>
      <c r="F42" s="80">
        <v>5.4838709677419356E-2</v>
      </c>
      <c r="G42" s="80">
        <v>5.9027777777777776E-2</v>
      </c>
    </row>
    <row r="43" spans="1:7" x14ac:dyDescent="0.2">
      <c r="A43" s="16">
        <v>37135</v>
      </c>
      <c r="B43" s="80">
        <v>2.9411764705882353E-2</v>
      </c>
      <c r="C43" s="80">
        <v>5.9340659340659338E-2</v>
      </c>
      <c r="D43" s="80">
        <v>-1.3377926421404682E-2</v>
      </c>
      <c r="E43" s="80">
        <v>3.7974683544303799E-2</v>
      </c>
      <c r="F43" s="80">
        <v>2.4464831804281346E-2</v>
      </c>
      <c r="G43" s="80">
        <v>4.9180327868852458E-2</v>
      </c>
    </row>
    <row r="44" spans="1:7" x14ac:dyDescent="0.2">
      <c r="A44" s="16">
        <v>37226</v>
      </c>
      <c r="B44" s="80">
        <v>-2.5974025974025974E-3</v>
      </c>
      <c r="C44" s="80">
        <v>3.7344398340248962E-2</v>
      </c>
      <c r="D44" s="80">
        <v>6.7796610169491525E-2</v>
      </c>
      <c r="E44" s="80">
        <v>3.048780487804878E-2</v>
      </c>
      <c r="F44" s="80">
        <v>5.3731343283582089E-2</v>
      </c>
      <c r="G44" s="80">
        <v>1.5625E-2</v>
      </c>
    </row>
    <row r="45" spans="1:7" x14ac:dyDescent="0.2">
      <c r="A45" s="16">
        <v>37316</v>
      </c>
      <c r="B45" s="80">
        <v>6.7708333333333329E-2</v>
      </c>
      <c r="C45" s="80">
        <v>0.04</v>
      </c>
      <c r="D45" s="80">
        <v>-1.5873015873015872E-2</v>
      </c>
      <c r="E45" s="80">
        <v>3.5502958579881658E-2</v>
      </c>
      <c r="F45" s="80">
        <v>1.9830028328611898E-2</v>
      </c>
      <c r="G45" s="80">
        <v>3.0769230769230771E-2</v>
      </c>
    </row>
    <row r="46" spans="1:7" x14ac:dyDescent="0.2">
      <c r="A46" s="16">
        <v>37408</v>
      </c>
      <c r="B46" s="80">
        <v>0.12195121951219512</v>
      </c>
      <c r="C46" s="80">
        <v>0.11923076923076924</v>
      </c>
      <c r="D46" s="80">
        <v>0.14838709677419354</v>
      </c>
      <c r="E46" s="80">
        <v>5.7142857142857141E-2</v>
      </c>
      <c r="F46" s="80">
        <v>8.3333333333333329E-2</v>
      </c>
      <c r="G46" s="80">
        <v>5.3731343283582089E-2</v>
      </c>
    </row>
    <row r="47" spans="1:7" x14ac:dyDescent="0.2">
      <c r="A47" s="16">
        <v>37500</v>
      </c>
      <c r="B47" s="80">
        <v>4.5652173913043478E-2</v>
      </c>
      <c r="C47" s="80">
        <v>3.0927835051546393E-2</v>
      </c>
      <c r="D47" s="80">
        <v>9.5505617977528087E-2</v>
      </c>
      <c r="E47" s="80">
        <v>4.0540540540540543E-2</v>
      </c>
      <c r="F47" s="80">
        <v>5.128205128205128E-2</v>
      </c>
      <c r="G47" s="80">
        <v>3.39943342776204E-2</v>
      </c>
    </row>
    <row r="48" spans="1:7" x14ac:dyDescent="0.2">
      <c r="A48" s="16">
        <v>37591</v>
      </c>
      <c r="B48" s="80">
        <v>-3.3264033264033266E-2</v>
      </c>
      <c r="C48" s="80">
        <v>1.6666666666666666E-2</v>
      </c>
      <c r="D48" s="80">
        <v>-7.179487179487179E-2</v>
      </c>
      <c r="E48" s="80">
        <v>3.896103896103896E-2</v>
      </c>
      <c r="F48" s="80">
        <v>7.0731707317073164E-2</v>
      </c>
      <c r="G48" s="80">
        <v>-5.4794520547945206E-3</v>
      </c>
    </row>
    <row r="49" spans="1:7" x14ac:dyDescent="0.2">
      <c r="A49" s="16">
        <v>37681</v>
      </c>
      <c r="B49" s="80">
        <v>-5.3763440860215055E-2</v>
      </c>
      <c r="C49" s="80">
        <v>9.8360655737704927E-3</v>
      </c>
      <c r="D49" s="80">
        <v>-3.3149171270718231E-2</v>
      </c>
      <c r="E49" s="80">
        <v>-5.0000000000000001E-3</v>
      </c>
      <c r="F49" s="80">
        <v>-2.0501138952164009E-2</v>
      </c>
      <c r="G49" s="80">
        <v>5.5096418732782371E-3</v>
      </c>
    </row>
    <row r="50" spans="1:7" x14ac:dyDescent="0.2">
      <c r="A50" s="16">
        <v>37773</v>
      </c>
      <c r="B50" s="80">
        <v>7.7272727272727271E-2</v>
      </c>
      <c r="C50" s="80">
        <v>2.2727272727272728E-2</v>
      </c>
      <c r="D50" s="80">
        <v>-1.4285714285714285E-2</v>
      </c>
      <c r="E50" s="80">
        <v>4.2713567839195977E-2</v>
      </c>
      <c r="F50" s="80">
        <v>6.2790697674418611E-2</v>
      </c>
      <c r="G50" s="80">
        <v>3.5616438356164383E-2</v>
      </c>
    </row>
    <row r="51" spans="1:7" x14ac:dyDescent="0.2">
      <c r="A51" s="16">
        <v>37865</v>
      </c>
      <c r="B51" s="80">
        <v>8.4388185654008435E-2</v>
      </c>
      <c r="C51" s="80">
        <v>8.7301587301587297E-2</v>
      </c>
      <c r="D51" s="80">
        <v>8.6956521739130432E-2</v>
      </c>
      <c r="E51" s="80">
        <v>1.9277108433734941E-2</v>
      </c>
      <c r="F51" s="80">
        <v>3.9387308533916851E-2</v>
      </c>
      <c r="G51" s="80">
        <v>5.2910052910052907E-3</v>
      </c>
    </row>
    <row r="52" spans="1:7" x14ac:dyDescent="0.2">
      <c r="A52" s="16">
        <v>37956</v>
      </c>
      <c r="B52" s="80">
        <v>2.1400778210116732E-2</v>
      </c>
      <c r="C52" s="80">
        <v>-7.2992700729927005E-3</v>
      </c>
      <c r="D52" s="80">
        <v>3.7333333333333336E-2</v>
      </c>
      <c r="E52" s="80">
        <v>4.7281323877068557E-2</v>
      </c>
      <c r="F52" s="80">
        <v>6.3157894736842107E-2</v>
      </c>
      <c r="G52" s="80">
        <v>2.6315789473684209E-2</v>
      </c>
    </row>
    <row r="53" spans="1:7" x14ac:dyDescent="0.2">
      <c r="A53" s="16">
        <v>38047</v>
      </c>
      <c r="B53" s="80">
        <v>4.9523809523809526E-2</v>
      </c>
      <c r="C53" s="80">
        <v>-2.2058823529411766E-2</v>
      </c>
      <c r="D53" s="80">
        <v>-7.4550128534704371E-2</v>
      </c>
      <c r="E53" s="80">
        <v>-1.8058690744920992E-2</v>
      </c>
      <c r="F53" s="80">
        <v>3.9603960396039604E-3</v>
      </c>
      <c r="G53" s="80">
        <v>-2.564102564102564E-2</v>
      </c>
    </row>
    <row r="54" spans="1:7" x14ac:dyDescent="0.2">
      <c r="A54" s="16">
        <v>38139</v>
      </c>
      <c r="B54" s="80">
        <v>-0.18330308529945555</v>
      </c>
      <c r="C54" s="80">
        <v>-3.7593984962406013E-2</v>
      </c>
      <c r="D54" s="80">
        <v>-2.7777777777777776E-2</v>
      </c>
      <c r="E54" s="80">
        <v>-1.8390804597701149E-2</v>
      </c>
      <c r="F54" s="80">
        <v>-4.142011834319527E-2</v>
      </c>
      <c r="G54" s="80">
        <v>1.0526315789473684E-2</v>
      </c>
    </row>
    <row r="55" spans="1:7" x14ac:dyDescent="0.2">
      <c r="A55" s="16">
        <v>38231</v>
      </c>
      <c r="B55" s="80">
        <v>9.3333333333333338E-2</v>
      </c>
      <c r="C55" s="80">
        <v>-1.5625E-2</v>
      </c>
      <c r="D55" s="80">
        <v>-1.4285714285714285E-2</v>
      </c>
      <c r="E55" s="80">
        <v>1.873536299765808E-2</v>
      </c>
      <c r="F55" s="80">
        <v>1.8518518518518517E-2</v>
      </c>
      <c r="G55" s="80">
        <v>-2.6041666666666665E-3</v>
      </c>
    </row>
    <row r="56" spans="1:7" x14ac:dyDescent="0.2">
      <c r="A56" s="16">
        <v>38322</v>
      </c>
      <c r="B56" s="80">
        <v>-4.0650406504065045E-3</v>
      </c>
      <c r="C56" s="80">
        <v>0</v>
      </c>
      <c r="D56" s="80">
        <v>1.4492753623188406E-2</v>
      </c>
      <c r="E56" s="80">
        <v>3.2183908045977011E-2</v>
      </c>
      <c r="F56" s="80">
        <v>1.0101010101010102E-2</v>
      </c>
      <c r="G56" s="80">
        <v>3.1331592689295036E-2</v>
      </c>
    </row>
    <row r="57" spans="1:7" x14ac:dyDescent="0.2">
      <c r="A57" s="16">
        <v>38412</v>
      </c>
      <c r="B57" s="80">
        <v>2.2448979591836733E-2</v>
      </c>
      <c r="C57" s="80">
        <v>7.9365079365079361E-3</v>
      </c>
      <c r="D57" s="80">
        <v>5.7142857142857141E-2</v>
      </c>
      <c r="E57" s="80">
        <v>-4.2316258351893093E-2</v>
      </c>
      <c r="F57" s="80">
        <v>-4.5999999999999999E-2</v>
      </c>
      <c r="G57" s="80">
        <v>-1.2658227848101266E-2</v>
      </c>
    </row>
    <row r="58" spans="1:7" x14ac:dyDescent="0.2">
      <c r="A58" s="16">
        <v>38504</v>
      </c>
      <c r="B58" s="80">
        <v>-1.1976047904191617E-2</v>
      </c>
      <c r="C58" s="80">
        <v>-9.4488188976377951E-3</v>
      </c>
      <c r="D58" s="80">
        <v>-5.4054054054054057E-2</v>
      </c>
      <c r="E58" s="80">
        <v>1.1627906976744186E-2</v>
      </c>
      <c r="F58" s="80">
        <v>2.7253668763102725E-2</v>
      </c>
      <c r="G58" s="80">
        <v>1.282051282051282E-2</v>
      </c>
    </row>
    <row r="59" spans="1:7" x14ac:dyDescent="0.2">
      <c r="A59" s="16">
        <v>38596</v>
      </c>
      <c r="B59" s="80">
        <v>-3.0303030303030304E-2</v>
      </c>
      <c r="C59" s="80">
        <v>-3.4976152623211444E-2</v>
      </c>
      <c r="D59" s="80">
        <v>5.7142857142857141E-2</v>
      </c>
      <c r="E59" s="80">
        <v>-2.2988505747126436E-2</v>
      </c>
      <c r="F59" s="80">
        <v>-2.6530612244897958E-2</v>
      </c>
      <c r="G59" s="80">
        <v>-2.5316455696202531E-2</v>
      </c>
    </row>
    <row r="60" spans="1:7" x14ac:dyDescent="0.2">
      <c r="A60" s="16">
        <v>38687</v>
      </c>
      <c r="B60" s="80">
        <v>6.25E-2</v>
      </c>
      <c r="C60" s="80">
        <v>2.1416803953871501E-2</v>
      </c>
      <c r="D60" s="80">
        <v>1.3513513513513514E-2</v>
      </c>
      <c r="E60" s="80">
        <v>1.8823529411764704E-2</v>
      </c>
      <c r="F60" s="80">
        <v>2.3060796645702306E-2</v>
      </c>
      <c r="G60" s="80">
        <v>0</v>
      </c>
    </row>
    <row r="61" spans="1:7" x14ac:dyDescent="0.2">
      <c r="A61" s="16">
        <v>38777</v>
      </c>
      <c r="B61" s="80">
        <v>9.8039215686274508E-3</v>
      </c>
      <c r="C61" s="80">
        <v>-8.0645161290322578E-3</v>
      </c>
      <c r="D61" s="80">
        <v>5.3333333333333337E-2</v>
      </c>
      <c r="E61" s="80">
        <v>-3.0023094688221709E-2</v>
      </c>
      <c r="F61" s="80">
        <v>-5.737704918032787E-2</v>
      </c>
      <c r="G61" s="80">
        <v>-1.2987012987012988E-2</v>
      </c>
    </row>
    <row r="62" spans="1:7" x14ac:dyDescent="0.2">
      <c r="A62" s="16">
        <v>38869</v>
      </c>
      <c r="B62" s="80">
        <v>9.7087378640776691E-3</v>
      </c>
      <c r="C62" s="80">
        <v>6.8292682926829273E-2</v>
      </c>
      <c r="D62" s="80">
        <v>-2.2784810126582278E-2</v>
      </c>
      <c r="E62" s="80">
        <v>3.8095238095238099E-2</v>
      </c>
      <c r="F62" s="80">
        <v>5.434782608695652E-2</v>
      </c>
      <c r="G62" s="80">
        <v>2.8947368421052631E-2</v>
      </c>
    </row>
    <row r="63" spans="1:7" x14ac:dyDescent="0.2">
      <c r="A63" s="16">
        <v>38961</v>
      </c>
      <c r="B63" s="80">
        <v>-9.8076923076923075E-2</v>
      </c>
      <c r="C63" s="80">
        <v>-3.1963470319634701E-2</v>
      </c>
      <c r="D63" s="80">
        <v>-0.12176165803108809</v>
      </c>
      <c r="E63" s="80">
        <v>-3.669724770642202E-2</v>
      </c>
      <c r="F63" s="80">
        <v>-2.6804123711340205E-2</v>
      </c>
      <c r="G63" s="80">
        <v>-2.8132992327365727E-2</v>
      </c>
    </row>
    <row r="64" spans="1:7" x14ac:dyDescent="0.2">
      <c r="A64" s="16">
        <v>39052</v>
      </c>
      <c r="B64" s="80">
        <v>0.16204690831556504</v>
      </c>
      <c r="C64" s="80">
        <v>3.7735849056603772E-2</v>
      </c>
      <c r="D64" s="80">
        <v>0.10619469026548672</v>
      </c>
      <c r="E64" s="80">
        <v>5.2380952380952382E-2</v>
      </c>
      <c r="F64" s="80">
        <v>4.4491525423728813E-2</v>
      </c>
      <c r="G64" s="80">
        <v>4.736842105263158E-2</v>
      </c>
    </row>
    <row r="65" spans="1:7" x14ac:dyDescent="0.2">
      <c r="A65" s="16">
        <v>39142</v>
      </c>
      <c r="B65" s="80">
        <v>-0.12844036697247707</v>
      </c>
      <c r="C65" s="80">
        <v>-7.575757575757576E-3</v>
      </c>
      <c r="D65" s="80">
        <v>-6.6666666666666666E-2</v>
      </c>
      <c r="E65" s="80">
        <v>-3.8461538461538464E-2</v>
      </c>
      <c r="F65" s="80">
        <v>-4.2596348884381338E-2</v>
      </c>
      <c r="G65" s="80">
        <v>-4.5226130653266333E-2</v>
      </c>
    </row>
    <row r="66" spans="1:7" x14ac:dyDescent="0.2">
      <c r="A66" s="16">
        <v>39234</v>
      </c>
      <c r="B66" s="80">
        <v>5.473684210526316E-2</v>
      </c>
      <c r="C66" s="80">
        <v>3.8167938931297711E-2</v>
      </c>
      <c r="D66" s="80">
        <v>0.14285714285714285</v>
      </c>
      <c r="E66" s="80">
        <v>5.8823529411764705E-2</v>
      </c>
      <c r="F66" s="80">
        <v>5.9322033898305086E-2</v>
      </c>
      <c r="G66" s="80">
        <v>5.2631578947368418E-2</v>
      </c>
    </row>
    <row r="67" spans="1:7" x14ac:dyDescent="0.2">
      <c r="A67" s="16">
        <v>39326</v>
      </c>
      <c r="B67" s="80">
        <v>4.3912175648702596E-2</v>
      </c>
      <c r="C67" s="80">
        <v>2.2058823529411766E-2</v>
      </c>
      <c r="D67" s="80">
        <v>0</v>
      </c>
      <c r="E67" s="80">
        <v>-1.1111111111111112E-2</v>
      </c>
      <c r="F67" s="80">
        <v>2E-3</v>
      </c>
      <c r="G67" s="80">
        <v>0</v>
      </c>
    </row>
    <row r="68" spans="1:7" x14ac:dyDescent="0.2">
      <c r="A68" s="16">
        <v>39417</v>
      </c>
      <c r="B68" s="80">
        <v>-6.3097514340344163E-2</v>
      </c>
      <c r="C68" s="80">
        <v>5.7553956834532377E-2</v>
      </c>
      <c r="D68" s="80">
        <v>0</v>
      </c>
      <c r="E68" s="80">
        <v>4.49438202247191E-2</v>
      </c>
      <c r="F68" s="80">
        <v>5.7884231536926151E-2</v>
      </c>
      <c r="G68" s="80">
        <v>3.7499999999999999E-2</v>
      </c>
    </row>
    <row r="69" spans="1:7" x14ac:dyDescent="0.2">
      <c r="A69" s="16">
        <v>39508</v>
      </c>
      <c r="B69" s="80">
        <v>-5.1020408163265307E-2</v>
      </c>
      <c r="C69" s="80">
        <v>-8.1632653061224497E-3</v>
      </c>
      <c r="D69" s="80">
        <v>-2.75E-2</v>
      </c>
      <c r="E69" s="80">
        <v>-6.4516129032258063E-2</v>
      </c>
      <c r="F69" s="80">
        <v>-8.4905660377358486E-2</v>
      </c>
      <c r="G69" s="80">
        <v>-4.5783132530120479E-2</v>
      </c>
    </row>
    <row r="70" spans="1:7" x14ac:dyDescent="0.2">
      <c r="A70" s="16">
        <v>39600</v>
      </c>
      <c r="B70" s="80">
        <v>0.11827956989247312</v>
      </c>
      <c r="C70" s="80">
        <v>1.3717421124828531E-3</v>
      </c>
      <c r="D70" s="80">
        <v>4.1131105398457581E-2</v>
      </c>
      <c r="E70" s="80">
        <v>0</v>
      </c>
      <c r="F70" s="80">
        <v>2.88659793814433E-2</v>
      </c>
      <c r="G70" s="80">
        <v>-2.5252525252525255E-3</v>
      </c>
    </row>
    <row r="71" spans="1:7" x14ac:dyDescent="0.2">
      <c r="A71" s="16">
        <v>39692</v>
      </c>
      <c r="B71" s="80">
        <v>-3.8461538461538464E-2</v>
      </c>
      <c r="C71" s="80">
        <v>-1.3698630136986301E-2</v>
      </c>
      <c r="D71" s="80">
        <v>-3.7037037037037035E-2</v>
      </c>
      <c r="E71" s="80">
        <v>-3.4482758620689655E-2</v>
      </c>
      <c r="F71" s="80">
        <v>-5.8116232464929862E-2</v>
      </c>
      <c r="G71" s="80">
        <v>-2.5316455696202531E-2</v>
      </c>
    </row>
    <row r="72" spans="1:7" x14ac:dyDescent="0.2">
      <c r="A72" s="16">
        <v>39783</v>
      </c>
      <c r="B72" s="80">
        <v>-6.4000000000000001E-2</v>
      </c>
      <c r="C72" s="80">
        <v>-2.7777777777777776E-2</v>
      </c>
      <c r="D72" s="80">
        <v>-2.564102564102564E-2</v>
      </c>
      <c r="E72" s="80">
        <v>-1.9047619047619049E-2</v>
      </c>
      <c r="F72" s="80">
        <v>-2.3404255319148935E-2</v>
      </c>
      <c r="G72" s="80">
        <v>-1.8181818181818181E-2</v>
      </c>
    </row>
    <row r="73" spans="1:7" x14ac:dyDescent="0.2">
      <c r="A73" s="16">
        <v>39873</v>
      </c>
      <c r="B73" s="80">
        <v>3.4188034188034191E-2</v>
      </c>
      <c r="C73" s="80">
        <v>2.1428571428571429E-2</v>
      </c>
      <c r="D73" s="80">
        <v>0.10526315789473684</v>
      </c>
      <c r="E73" s="80">
        <v>-9.7087378640776691E-3</v>
      </c>
      <c r="F73" s="80">
        <v>-4.1394335511982572E-2</v>
      </c>
      <c r="G73" s="80">
        <v>1.8518518518518517E-2</v>
      </c>
    </row>
    <row r="74" spans="1:7" x14ac:dyDescent="0.2">
      <c r="A74" s="16">
        <v>39965</v>
      </c>
      <c r="B74" s="80">
        <v>4.9586776859504134E-2</v>
      </c>
      <c r="C74" s="80">
        <v>5.0349650349650353E-2</v>
      </c>
      <c r="D74" s="80">
        <v>2.3809523809523808E-2</v>
      </c>
      <c r="E74" s="80">
        <v>6.6176470588235295E-2</v>
      </c>
      <c r="F74" s="80">
        <v>0.10227272727272728</v>
      </c>
      <c r="G74" s="80">
        <v>3.896103896103896E-2</v>
      </c>
    </row>
    <row r="75" spans="1:7" x14ac:dyDescent="0.2">
      <c r="A75" s="16">
        <v>40057</v>
      </c>
      <c r="B75" s="80">
        <v>1.1811023622047244E-2</v>
      </c>
      <c r="C75" s="80">
        <v>-6.6577896138482022E-3</v>
      </c>
      <c r="D75" s="80">
        <v>-2.0930232558139535E-2</v>
      </c>
      <c r="E75" s="80">
        <v>3.4482758620689655E-2</v>
      </c>
      <c r="F75" s="80">
        <v>1.6494845360824743E-2</v>
      </c>
      <c r="G75" s="80">
        <v>7.2499999999999995E-2</v>
      </c>
    </row>
    <row r="76" spans="1:7" x14ac:dyDescent="0.2">
      <c r="A76" s="16">
        <v>40148</v>
      </c>
      <c r="B76" s="80">
        <v>0.12840466926070038</v>
      </c>
      <c r="C76" s="80">
        <v>9.2493297587131373E-2</v>
      </c>
      <c r="D76" s="80">
        <v>4.5130641330166268E-2</v>
      </c>
      <c r="E76" s="80">
        <v>0.1111111111111111</v>
      </c>
      <c r="F76" s="80">
        <v>0.17241379310344829</v>
      </c>
      <c r="G76" s="80">
        <v>5.3613053613053616E-2</v>
      </c>
    </row>
    <row r="77" spans="1:7" x14ac:dyDescent="0.2">
      <c r="A77" s="16">
        <v>40238</v>
      </c>
      <c r="B77" s="80">
        <v>-1.5517241379310345E-2</v>
      </c>
      <c r="C77" s="80">
        <v>4.0490797546012272E-2</v>
      </c>
      <c r="D77" s="80">
        <v>0.10227272727272728</v>
      </c>
      <c r="E77" s="80">
        <v>0</v>
      </c>
      <c r="F77" s="80">
        <v>-2.0761245674740483E-2</v>
      </c>
      <c r="G77" s="80">
        <v>-4.4247787610619468E-3</v>
      </c>
    </row>
    <row r="78" spans="1:7" x14ac:dyDescent="0.2">
      <c r="A78" s="16">
        <v>40330</v>
      </c>
      <c r="B78" s="80">
        <v>0.16462346760070051</v>
      </c>
      <c r="C78" s="80">
        <v>5.4245283018867926E-2</v>
      </c>
      <c r="D78" s="80">
        <v>2.0618556701030927E-2</v>
      </c>
      <c r="E78" s="80">
        <v>4.5999999999999999E-2</v>
      </c>
      <c r="F78" s="80">
        <v>5.1236749116607777E-2</v>
      </c>
      <c r="G78" s="80">
        <v>6.6666666666666666E-2</v>
      </c>
    </row>
    <row r="79" spans="1:7" x14ac:dyDescent="0.2">
      <c r="A79" s="16">
        <v>40422</v>
      </c>
      <c r="B79" s="80">
        <v>-0.11278195488721804</v>
      </c>
      <c r="C79" s="80">
        <v>-4.4742729306487695E-3</v>
      </c>
      <c r="D79" s="80">
        <v>-7.6767676767676762E-2</v>
      </c>
      <c r="E79" s="80">
        <v>-1.5296367112810707E-2</v>
      </c>
      <c r="F79" s="80">
        <v>-3.0252100840336135E-2</v>
      </c>
      <c r="G79" s="80">
        <v>-2.0833333333333333E-3</v>
      </c>
    </row>
    <row r="80" spans="1:7" x14ac:dyDescent="0.2">
      <c r="A80" s="16">
        <v>40513</v>
      </c>
      <c r="B80" s="80">
        <v>0.11016949152542373</v>
      </c>
      <c r="C80" s="80">
        <v>-7.8651685393258432E-3</v>
      </c>
      <c r="D80" s="80">
        <v>5.0328227571115977E-2</v>
      </c>
      <c r="E80" s="80">
        <v>3.8834951456310676E-2</v>
      </c>
      <c r="F80" s="80">
        <v>3.9861351819757362E-2</v>
      </c>
      <c r="G80" s="80">
        <v>2.2964509394572025E-2</v>
      </c>
    </row>
    <row r="81" spans="1:7" x14ac:dyDescent="0.2">
      <c r="A81" s="16">
        <v>40603</v>
      </c>
      <c r="B81" s="80">
        <v>-8.3969465648854963E-2</v>
      </c>
      <c r="C81" s="80">
        <v>-2.7180067950169876E-2</v>
      </c>
      <c r="D81" s="80">
        <v>-6.8750000000000006E-2</v>
      </c>
      <c r="E81" s="80">
        <v>8.4112149532710276E-2</v>
      </c>
      <c r="F81" s="80">
        <v>-8.3333333333333329E-2</v>
      </c>
      <c r="G81" s="80">
        <v>0.21224489795918366</v>
      </c>
    </row>
    <row r="82" spans="1:7" x14ac:dyDescent="0.2">
      <c r="A82" s="16">
        <v>40695</v>
      </c>
      <c r="B82" s="80">
        <v>0.12</v>
      </c>
      <c r="C82" s="80">
        <v>3.2596041909196738E-2</v>
      </c>
      <c r="D82" s="80">
        <v>6.2639821029082776E-2</v>
      </c>
      <c r="E82" s="80">
        <v>-6.8965517241379309E-2</v>
      </c>
      <c r="F82" s="80">
        <v>9.0909090909090912E-2</v>
      </c>
      <c r="G82" s="80">
        <v>-0.13804713804713806</v>
      </c>
    </row>
    <row r="83" spans="1:7" x14ac:dyDescent="0.2">
      <c r="A83" s="16">
        <v>40787</v>
      </c>
      <c r="B83" s="80">
        <v>-0.10714285714285714</v>
      </c>
      <c r="C83" s="80">
        <v>-9.0191657271702363E-3</v>
      </c>
      <c r="D83" s="80">
        <v>0.10526315789473684</v>
      </c>
      <c r="E83" s="80">
        <v>-5.5555555555555552E-2</v>
      </c>
      <c r="F83" s="80">
        <v>-8.3333333333333329E-2</v>
      </c>
      <c r="G83" s="80">
        <v>-4.4921875E-2</v>
      </c>
    </row>
    <row r="84" spans="1:7" x14ac:dyDescent="0.2">
      <c r="A84" s="16">
        <v>40878</v>
      </c>
      <c r="B84" s="80">
        <v>-0.10166666666666667</v>
      </c>
      <c r="C84" s="80">
        <v>-1.2514220705346985E-2</v>
      </c>
      <c r="D84" s="80">
        <v>-3.8095238095238099E-2</v>
      </c>
      <c r="E84" s="80">
        <v>-3.7254901960784313E-2</v>
      </c>
      <c r="F84" s="80">
        <v>-5.4545454545454543E-2</v>
      </c>
      <c r="G84" s="80">
        <v>-2.8629856850715747E-2</v>
      </c>
    </row>
    <row r="85" spans="1:7" x14ac:dyDescent="0.2">
      <c r="A85" s="16">
        <v>40969</v>
      </c>
      <c r="B85" s="80">
        <v>5.7513914656771803E-2</v>
      </c>
      <c r="C85" s="80">
        <v>1.3824884792626729E-2</v>
      </c>
      <c r="D85" s="80">
        <v>6.9306930693069313E-2</v>
      </c>
      <c r="E85" s="80">
        <v>9.9796334012219962E-2</v>
      </c>
      <c r="F85" s="80">
        <v>0.13076923076923078</v>
      </c>
      <c r="G85" s="80">
        <v>6.3157894736842107E-2</v>
      </c>
    </row>
    <row r="86" spans="1:7" x14ac:dyDescent="0.2">
      <c r="A86" s="16">
        <v>41061</v>
      </c>
      <c r="B86" s="80">
        <v>4.3859649122807015E-2</v>
      </c>
      <c r="C86" s="80">
        <v>0</v>
      </c>
      <c r="D86" s="80">
        <v>3.3333333333333333E-2</v>
      </c>
      <c r="E86" s="80">
        <v>9.2592592592592587E-3</v>
      </c>
      <c r="F86" s="80">
        <v>8.5034013605442185E-3</v>
      </c>
      <c r="G86" s="80">
        <v>2.9702970297029702E-2</v>
      </c>
    </row>
    <row r="87" spans="1:7" x14ac:dyDescent="0.2">
      <c r="A87" s="16">
        <v>41153</v>
      </c>
      <c r="B87" s="80">
        <v>6.5546218487394961E-2</v>
      </c>
      <c r="C87" s="80">
        <v>-5.681818181818182E-3</v>
      </c>
      <c r="D87" s="80">
        <v>-6.8100358422939072E-2</v>
      </c>
      <c r="E87" s="80">
        <v>-3.669724770642202E-2</v>
      </c>
      <c r="F87" s="80">
        <v>-4.2158516020236091E-2</v>
      </c>
      <c r="G87" s="80">
        <v>-5.7692307692307696E-2</v>
      </c>
    </row>
    <row r="88" spans="1:7" x14ac:dyDescent="0.2">
      <c r="A88" s="16">
        <v>41244</v>
      </c>
      <c r="B88" s="80">
        <v>0.13564668769716087</v>
      </c>
      <c r="C88" s="80">
        <v>2.8571428571428571E-2</v>
      </c>
      <c r="D88" s="80">
        <v>4.807692307692308E-2</v>
      </c>
      <c r="E88" s="80">
        <v>6.6666666666666666E-2</v>
      </c>
      <c r="F88" s="80">
        <v>9.154929577464789E-2</v>
      </c>
      <c r="G88" s="80">
        <v>7.7551020408163265E-2</v>
      </c>
    </row>
    <row r="89" spans="1:7" x14ac:dyDescent="0.2">
      <c r="A89" s="16">
        <v>41334</v>
      </c>
      <c r="B89" s="80">
        <v>-0.10416666666666667</v>
      </c>
      <c r="C89" s="80">
        <v>1.1111111111111112E-2</v>
      </c>
      <c r="D89" s="80">
        <v>0</v>
      </c>
      <c r="E89" s="80">
        <v>-1.7857142857142856E-2</v>
      </c>
      <c r="F89" s="80">
        <v>-3.2258064516129031E-2</v>
      </c>
      <c r="G89" s="80">
        <v>-1.5151515151515152E-2</v>
      </c>
    </row>
    <row r="90" spans="1:7" x14ac:dyDescent="0.2">
      <c r="A90" s="16">
        <v>41426</v>
      </c>
      <c r="B90" s="80">
        <v>8.0620155038759689E-2</v>
      </c>
      <c r="C90" s="80">
        <v>1.2087912087912088E-2</v>
      </c>
      <c r="D90" s="80">
        <v>8.2568807339449546E-2</v>
      </c>
      <c r="E90" s="80">
        <v>4.5454545454545456E-2</v>
      </c>
      <c r="F90" s="80">
        <v>0.05</v>
      </c>
      <c r="G90" s="80">
        <v>4.807692307692308E-2</v>
      </c>
    </row>
    <row r="91" spans="1:7" x14ac:dyDescent="0.2">
      <c r="A91" s="16">
        <v>41518</v>
      </c>
      <c r="B91" s="80">
        <v>-6.7431850789096123E-2</v>
      </c>
      <c r="C91" s="80">
        <v>7.2747014115092296E-2</v>
      </c>
      <c r="D91" s="80">
        <v>1.1864406779661017E-2</v>
      </c>
      <c r="E91" s="80">
        <v>2.6086956521739129E-2</v>
      </c>
      <c r="F91" s="80">
        <v>3.1746031746031744E-2</v>
      </c>
      <c r="G91" s="80">
        <v>3.3027522935779818E-2</v>
      </c>
    </row>
    <row r="92" spans="1:7" x14ac:dyDescent="0.2">
      <c r="A92" s="16">
        <v>41609</v>
      </c>
      <c r="B92" s="80">
        <v>0</v>
      </c>
      <c r="C92" s="80">
        <v>0.11437246963562753</v>
      </c>
      <c r="D92" s="80">
        <v>7.2026800670016752E-2</v>
      </c>
      <c r="E92" s="80">
        <v>1.6949152542372881E-2</v>
      </c>
      <c r="F92" s="80">
        <v>0.11076923076923077</v>
      </c>
      <c r="G92" s="80">
        <v>3.9076376554174071E-2</v>
      </c>
    </row>
    <row r="93" spans="1:7" x14ac:dyDescent="0.2">
      <c r="A93" s="16">
        <v>41699</v>
      </c>
      <c r="B93" s="80">
        <v>7.3846153846153853E-2</v>
      </c>
      <c r="C93" s="80">
        <v>4.4504995458673931E-2</v>
      </c>
      <c r="D93" s="80">
        <v>1.5625E-2</v>
      </c>
      <c r="E93" s="80">
        <v>7.4999999999999997E-2</v>
      </c>
      <c r="F93" s="80">
        <v>-5.817174515235457E-2</v>
      </c>
      <c r="G93" s="80">
        <v>8.8888888888888892E-2</v>
      </c>
    </row>
    <row r="94" spans="1:7" x14ac:dyDescent="0.2">
      <c r="A94" s="16">
        <v>41791</v>
      </c>
      <c r="B94" s="80">
        <v>2.865329512893983E-2</v>
      </c>
      <c r="C94" s="80">
        <v>0.08</v>
      </c>
      <c r="D94" s="80">
        <v>0</v>
      </c>
      <c r="E94" s="80">
        <v>7.7519379844961239E-3</v>
      </c>
      <c r="F94" s="80">
        <v>7.3529411764705885E-2</v>
      </c>
      <c r="G94" s="80">
        <v>-1.8838304552590265E-2</v>
      </c>
    </row>
    <row r="95" spans="1:7" x14ac:dyDescent="0.2">
      <c r="A95" s="16">
        <v>41883</v>
      </c>
      <c r="B95" s="80">
        <v>1.6713091922005572E-2</v>
      </c>
      <c r="C95" s="80">
        <v>4.6698872785829307E-2</v>
      </c>
      <c r="D95" s="80">
        <v>-0.02</v>
      </c>
      <c r="E95" s="80">
        <v>3.0769230769230771E-2</v>
      </c>
      <c r="F95" s="80">
        <v>4.10958904109589E-3</v>
      </c>
      <c r="G95" s="80">
        <v>3.6799999999999999E-2</v>
      </c>
    </row>
    <row r="96" spans="1:7" x14ac:dyDescent="0.2">
      <c r="A96" s="16">
        <v>41974</v>
      </c>
      <c r="B96" s="80">
        <v>0.15068493150684931</v>
      </c>
      <c r="C96" s="80">
        <v>3.8461538461538464E-3</v>
      </c>
      <c r="D96" s="80">
        <v>2.0408163265306121E-2</v>
      </c>
      <c r="E96" s="80">
        <v>4.4776119402985072E-2</v>
      </c>
      <c r="F96" s="80">
        <v>0.11186903137789904</v>
      </c>
      <c r="G96" s="80">
        <v>-4.6296296296296294E-3</v>
      </c>
    </row>
    <row r="97" spans="1:7" x14ac:dyDescent="0.2">
      <c r="A97" s="16">
        <v>42064</v>
      </c>
      <c r="B97" s="80">
        <v>-0.11547619047619048</v>
      </c>
      <c r="C97" s="80">
        <v>7.2796934865900387E-2</v>
      </c>
      <c r="D97" s="80">
        <v>1.5384615384615385E-2</v>
      </c>
      <c r="E97" s="80">
        <v>0</v>
      </c>
      <c r="F97" s="80">
        <v>-4.9079754601226995E-2</v>
      </c>
      <c r="G97" s="80">
        <v>2.3255813953488372E-2</v>
      </c>
    </row>
    <row r="98" spans="1:7" x14ac:dyDescent="0.2">
      <c r="A98" s="16">
        <v>42156</v>
      </c>
      <c r="B98" s="80">
        <v>0.17092866756393002</v>
      </c>
      <c r="C98" s="80">
        <v>0.09</v>
      </c>
      <c r="D98" s="80">
        <v>0.10454545454545454</v>
      </c>
      <c r="E98" s="80">
        <v>7.1428571428571425E-2</v>
      </c>
      <c r="F98" s="80">
        <v>0.12258064516129032</v>
      </c>
      <c r="G98" s="80">
        <v>3.787878787878788E-2</v>
      </c>
    </row>
    <row r="99" spans="1:7" x14ac:dyDescent="0.2">
      <c r="A99" s="16">
        <v>42248</v>
      </c>
      <c r="B99" s="80">
        <v>3.4482758620689655E-2</v>
      </c>
      <c r="C99" s="80">
        <v>3.2765399737876802E-2</v>
      </c>
      <c r="D99" s="80">
        <v>-9.6021947873799734E-3</v>
      </c>
      <c r="E99" s="80">
        <v>2.6666666666666668E-2</v>
      </c>
      <c r="F99" s="80">
        <v>2.2988505747126436E-2</v>
      </c>
      <c r="G99" s="80">
        <v>7.2992700729927005E-3</v>
      </c>
    </row>
    <row r="100" spans="1:7" x14ac:dyDescent="0.2">
      <c r="A100" s="16">
        <v>42339</v>
      </c>
      <c r="B100" s="80">
        <v>-2.2222222222222223E-2</v>
      </c>
      <c r="C100" s="80">
        <v>-4.8223350253807105E-2</v>
      </c>
      <c r="D100" s="80">
        <v>-9.833795013850416E-2</v>
      </c>
      <c r="E100" s="80">
        <v>2.5974025974025976E-2</v>
      </c>
      <c r="F100" s="80">
        <v>2.247191011235955E-2</v>
      </c>
      <c r="G100" s="80">
        <v>0</v>
      </c>
    </row>
    <row r="101" spans="1:7" x14ac:dyDescent="0.2">
      <c r="A101" s="16">
        <v>42430</v>
      </c>
      <c r="B101" s="80">
        <v>-5.681818181818182E-3</v>
      </c>
      <c r="C101" s="80">
        <v>1.5333333333333332E-2</v>
      </c>
      <c r="D101" s="80">
        <v>1.8433179723502304E-2</v>
      </c>
      <c r="E101" s="80">
        <v>-3.7974683544303799E-2</v>
      </c>
      <c r="F101" s="80">
        <v>-6.5934065934065936E-2</v>
      </c>
      <c r="G101" s="80">
        <v>-1.4492753623188406E-2</v>
      </c>
    </row>
    <row r="102" spans="1:7" x14ac:dyDescent="0.2">
      <c r="A102" s="16">
        <v>42522</v>
      </c>
      <c r="B102" s="80">
        <v>0.192</v>
      </c>
      <c r="C102" s="80">
        <v>9.8489822718319103E-3</v>
      </c>
      <c r="D102" s="80">
        <v>0.12368024132730016</v>
      </c>
      <c r="E102" s="80">
        <v>2.6315789473684209E-2</v>
      </c>
      <c r="F102" s="80">
        <v>4.1176470588235294E-2</v>
      </c>
      <c r="G102" s="80">
        <v>3.6764705882352942E-2</v>
      </c>
    </row>
    <row r="103" spans="1:7" x14ac:dyDescent="0.2">
      <c r="A103" s="16">
        <v>42614</v>
      </c>
      <c r="B103" s="80">
        <v>-0.14189837008628955</v>
      </c>
      <c r="C103" s="80">
        <v>7.8023407022106634E-3</v>
      </c>
      <c r="D103" s="80">
        <v>-1.8791946308724831E-2</v>
      </c>
      <c r="E103" s="80">
        <v>1.0256410256410256E-2</v>
      </c>
      <c r="F103" s="80">
        <v>0</v>
      </c>
      <c r="G103" s="80">
        <v>7.0921985815602835E-3</v>
      </c>
    </row>
    <row r="104" spans="1:7" x14ac:dyDescent="0.2">
      <c r="A104" s="16">
        <v>42705</v>
      </c>
      <c r="B104" s="80">
        <v>0.11955307262569832</v>
      </c>
      <c r="C104" s="80">
        <v>7.3548387096774193E-2</v>
      </c>
      <c r="D104" s="80">
        <v>-1.5047879616963064E-2</v>
      </c>
      <c r="E104" s="80">
        <v>6.5989847715736044E-2</v>
      </c>
      <c r="F104" s="80">
        <v>9.9435028248587576E-2</v>
      </c>
      <c r="G104" s="80">
        <v>2.8169014084507043E-2</v>
      </c>
    </row>
    <row r="105" spans="1:7" x14ac:dyDescent="0.2">
      <c r="A105" s="16">
        <v>42795</v>
      </c>
      <c r="B105" s="80">
        <v>-0.1317365269461078</v>
      </c>
      <c r="C105" s="80">
        <v>7.2716346153846159E-2</v>
      </c>
      <c r="D105" s="80">
        <v>5.5555555555555558E-3</v>
      </c>
      <c r="E105" s="80">
        <v>-3.5714285714285712E-2</v>
      </c>
      <c r="F105" s="80">
        <v>-7.5025693730729703E-2</v>
      </c>
      <c r="G105" s="80">
        <v>-1.3698630136986301E-2</v>
      </c>
    </row>
    <row r="106" spans="1:7" x14ac:dyDescent="0.2">
      <c r="A106" s="16">
        <v>42887</v>
      </c>
      <c r="C106" s="80"/>
      <c r="D106" s="80"/>
      <c r="E106" s="80"/>
      <c r="F106" s="80"/>
      <c r="G106" s="8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9"/>
  <sheetViews>
    <sheetView topLeftCell="G25" workbookViewId="0">
      <selection activeCell="F3" sqref="F3:F108"/>
    </sheetView>
  </sheetViews>
  <sheetFormatPr baseColWidth="10" defaultRowHeight="15" x14ac:dyDescent="0.2"/>
  <sheetData>
    <row r="2" spans="2:14" x14ac:dyDescent="0.2">
      <c r="B2" s="3"/>
      <c r="C2" s="81"/>
      <c r="D2" s="47"/>
      <c r="E2" s="47"/>
      <c r="F2" s="47"/>
    </row>
    <row r="3" spans="2:14" x14ac:dyDescent="0.2">
      <c r="B3" s="3" t="s">
        <v>96</v>
      </c>
      <c r="C3" s="81" t="s">
        <v>4</v>
      </c>
      <c r="D3" s="47" t="s">
        <v>173</v>
      </c>
      <c r="E3" s="47" t="s">
        <v>112</v>
      </c>
      <c r="F3" s="47" t="s">
        <v>97</v>
      </c>
      <c r="G3" s="47" t="s">
        <v>173</v>
      </c>
      <c r="H3" s="47" t="s">
        <v>112</v>
      </c>
    </row>
    <row r="4" spans="2:14" x14ac:dyDescent="0.2">
      <c r="B4" s="16">
        <v>33298</v>
      </c>
      <c r="C4" s="43"/>
    </row>
    <row r="5" spans="2:14" x14ac:dyDescent="0.2">
      <c r="B5" s="16">
        <v>33390</v>
      </c>
      <c r="C5" s="43">
        <v>7.1712065013216975E-2</v>
      </c>
      <c r="D5" s="43">
        <v>0.10660927550710275</v>
      </c>
      <c r="F5" s="44">
        <v>0.10506048681485879</v>
      </c>
      <c r="G5">
        <v>0.11130974765726048</v>
      </c>
      <c r="H5">
        <v>3.8773734574925611E-2</v>
      </c>
      <c r="L5" t="s">
        <v>174</v>
      </c>
      <c r="M5" t="s">
        <v>175</v>
      </c>
      <c r="N5" t="s">
        <v>176</v>
      </c>
    </row>
    <row r="6" spans="2:14" x14ac:dyDescent="0.2">
      <c r="B6" s="16">
        <v>33482</v>
      </c>
      <c r="C6" s="43">
        <v>7.2021027667492687E-2</v>
      </c>
      <c r="D6" s="43">
        <v>0.10709282836385936</v>
      </c>
      <c r="F6" s="44">
        <v>0.10553321256545499</v>
      </c>
      <c r="G6">
        <v>0.11183018246443781</v>
      </c>
      <c r="H6">
        <v>3.8910752789431298E-2</v>
      </c>
      <c r="K6" t="s">
        <v>4</v>
      </c>
      <c r="L6" s="42">
        <v>9.4722547440594802</v>
      </c>
      <c r="M6" s="42">
        <v>18.351363515030275</v>
      </c>
      <c r="N6" s="42">
        <v>18.380384616204669</v>
      </c>
    </row>
    <row r="7" spans="2:14" x14ac:dyDescent="0.2">
      <c r="B7" s="16">
        <v>33573</v>
      </c>
      <c r="C7" s="43">
        <v>7.2365964423992818E-2</v>
      </c>
      <c r="D7" s="43">
        <v>0.10760135446070083</v>
      </c>
      <c r="F7" s="44">
        <v>0.10603727475988155</v>
      </c>
      <c r="G7">
        <v>0.11234759075330583</v>
      </c>
      <c r="H7">
        <v>3.891592850899802E-2</v>
      </c>
      <c r="K7" t="s">
        <v>97</v>
      </c>
      <c r="L7" s="42">
        <v>18.140906188497915</v>
      </c>
      <c r="M7" s="42">
        <v>18.795931193502149</v>
      </c>
      <c r="N7" s="42">
        <v>4.3200763775346669</v>
      </c>
    </row>
    <row r="8" spans="2:14" x14ac:dyDescent="0.2">
      <c r="B8" s="16">
        <v>33664</v>
      </c>
      <c r="C8" s="43">
        <v>7.2716993230390173E-2</v>
      </c>
      <c r="D8" s="43">
        <v>0.10769087486691167</v>
      </c>
      <c r="E8" s="44">
        <v>0.11562487786727213</v>
      </c>
      <c r="F8" s="44">
        <v>0.10649089482892785</v>
      </c>
      <c r="G8">
        <v>0.11266469712791249</v>
      </c>
      <c r="H8">
        <v>3.859487072827078E-2</v>
      </c>
    </row>
    <row r="9" spans="2:14" x14ac:dyDescent="0.2">
      <c r="B9" s="16">
        <v>33756</v>
      </c>
      <c r="C9" s="43">
        <v>7.2998335463343833E-2</v>
      </c>
      <c r="D9" s="43">
        <v>0.10790848837284278</v>
      </c>
      <c r="E9" s="44">
        <v>0.11616497751334527</v>
      </c>
      <c r="F9" s="44">
        <v>0.10695325969506707</v>
      </c>
      <c r="G9">
        <v>0.11319317790494871</v>
      </c>
      <c r="H9">
        <v>3.8610805611566996E-2</v>
      </c>
    </row>
    <row r="10" spans="2:14" x14ac:dyDescent="0.2">
      <c r="B10" s="16">
        <v>33848</v>
      </c>
      <c r="C10" s="43">
        <v>7.3365825327062692E-2</v>
      </c>
      <c r="D10" s="43">
        <v>0.10844426945024688</v>
      </c>
      <c r="E10" s="44">
        <v>0.11672838290130559</v>
      </c>
      <c r="F10" s="44">
        <v>0.10745890391015638</v>
      </c>
      <c r="G10">
        <v>0.11373745528295177</v>
      </c>
      <c r="H10">
        <v>3.880341248010296E-2</v>
      </c>
    </row>
    <row r="11" spans="2:14" x14ac:dyDescent="0.2">
      <c r="B11" s="16">
        <v>33939</v>
      </c>
      <c r="C11" s="43">
        <v>7.3735116755845265E-2</v>
      </c>
      <c r="D11" s="43">
        <v>0.10883679938359998</v>
      </c>
      <c r="E11" s="44">
        <v>0.11728880010202736</v>
      </c>
      <c r="F11" s="44">
        <v>0.10799814985435305</v>
      </c>
      <c r="G11">
        <v>0.11430771089589149</v>
      </c>
      <c r="H11">
        <v>3.8999422160111423E-2</v>
      </c>
    </row>
    <row r="12" spans="2:14" x14ac:dyDescent="0.2">
      <c r="B12" s="16">
        <v>34029</v>
      </c>
      <c r="C12" s="43">
        <v>7.4072861202508736E-2</v>
      </c>
      <c r="D12" s="43">
        <v>0.10894554967996707</v>
      </c>
      <c r="E12" s="44">
        <v>0.11788567122942398</v>
      </c>
      <c r="F12" s="44">
        <v>0.10854639469839879</v>
      </c>
      <c r="G12">
        <v>0.11488663058127283</v>
      </c>
      <c r="H12">
        <v>3.9163937396924003E-2</v>
      </c>
    </row>
    <row r="13" spans="2:14" x14ac:dyDescent="0.2">
      <c r="B13" s="16">
        <v>34121</v>
      </c>
      <c r="C13" s="43">
        <v>7.4377547041165601E-2</v>
      </c>
      <c r="D13" s="43">
        <v>0.10947757710314403</v>
      </c>
      <c r="E13" s="44">
        <v>0.11847754730956192</v>
      </c>
      <c r="F13" s="44">
        <v>0.10908782815912918</v>
      </c>
      <c r="G13">
        <v>0.11543440532051367</v>
      </c>
      <c r="H13">
        <v>3.9295629750056717E-2</v>
      </c>
    </row>
    <row r="14" spans="2:14" x14ac:dyDescent="0.2">
      <c r="B14" s="16">
        <v>34213</v>
      </c>
      <c r="C14" s="43">
        <v>7.4767343412292658E-2</v>
      </c>
      <c r="D14" s="43">
        <v>0.11004146104717442</v>
      </c>
      <c r="E14" s="44">
        <v>0.11866535763661795</v>
      </c>
      <c r="F14" s="44">
        <v>0.10962821577382081</v>
      </c>
      <c r="G14">
        <v>0.11600152541838517</v>
      </c>
      <c r="H14">
        <v>3.9487189298484028E-2</v>
      </c>
    </row>
    <row r="15" spans="2:14" x14ac:dyDescent="0.2">
      <c r="B15" s="16">
        <v>34304</v>
      </c>
      <c r="C15" s="43">
        <v>7.5153493644059891E-2</v>
      </c>
      <c r="D15" s="43">
        <v>0.1105906089366383</v>
      </c>
      <c r="E15" s="44">
        <v>0.11927218646934559</v>
      </c>
      <c r="F15" s="44">
        <v>0.11020156274143454</v>
      </c>
      <c r="G15">
        <v>0.11660752516197478</v>
      </c>
      <c r="H15">
        <v>3.9681434997080926E-2</v>
      </c>
    </row>
    <row r="16" spans="2:14" x14ac:dyDescent="0.2">
      <c r="B16" s="16">
        <v>34394</v>
      </c>
      <c r="C16" s="43">
        <v>7.5475939779278953E-2</v>
      </c>
      <c r="D16" s="43">
        <v>0.11116778792114658</v>
      </c>
      <c r="E16" s="44">
        <v>0.11990231142192459</v>
      </c>
      <c r="F16" s="44">
        <v>0.11078400034696619</v>
      </c>
      <c r="G16">
        <v>0.11722255257024079</v>
      </c>
      <c r="H16">
        <v>3.981838975562095E-2</v>
      </c>
    </row>
    <row r="17" spans="2:8" x14ac:dyDescent="0.2">
      <c r="B17" s="16">
        <v>34486</v>
      </c>
      <c r="C17" s="43">
        <v>7.5879438898817098E-2</v>
      </c>
      <c r="D17" s="43">
        <v>0.11175722497453162</v>
      </c>
      <c r="E17" s="44">
        <v>0.12054252984422319</v>
      </c>
      <c r="F17" s="44">
        <v>0.11135304934200516</v>
      </c>
      <c r="G17">
        <v>0.11785065395004975</v>
      </c>
      <c r="H17">
        <v>4.0033697723984095E-2</v>
      </c>
    </row>
    <row r="18" spans="2:8" x14ac:dyDescent="0.2">
      <c r="B18" s="16">
        <v>34578</v>
      </c>
      <c r="C18" s="43">
        <v>7.6292582458479849E-2</v>
      </c>
      <c r="D18" s="43">
        <v>0.11229005747513349</v>
      </c>
      <c r="E18" s="44">
        <v>0.12118064992116921</v>
      </c>
      <c r="F18" s="44">
        <v>0.11195449024328155</v>
      </c>
      <c r="G18">
        <v>0.11848899596557504</v>
      </c>
      <c r="H18">
        <v>4.0236134553727348E-2</v>
      </c>
    </row>
    <row r="19" spans="2:8" x14ac:dyDescent="0.2">
      <c r="B19" s="16">
        <v>34669</v>
      </c>
      <c r="C19" s="43">
        <v>7.6499414669205637E-2</v>
      </c>
      <c r="D19" s="43">
        <v>0.11272448485404837</v>
      </c>
      <c r="E19" s="44">
        <v>0.12178232568434069</v>
      </c>
      <c r="F19" s="44">
        <v>0.11244190108150211</v>
      </c>
      <c r="G19">
        <v>0.11905998614506055</v>
      </c>
      <c r="H19">
        <v>4.0086850297457059E-2</v>
      </c>
    </row>
    <row r="20" spans="2:8" x14ac:dyDescent="0.2">
      <c r="B20" s="16">
        <v>34759</v>
      </c>
      <c r="C20" s="43">
        <v>7.6774372103615707E-2</v>
      </c>
      <c r="D20" s="43">
        <v>0.11334329945488283</v>
      </c>
      <c r="E20" s="44">
        <v>0.1223918253343604</v>
      </c>
      <c r="F20" s="44">
        <v>0.1130637325032712</v>
      </c>
      <c r="G20">
        <v>0.11968075626028875</v>
      </c>
      <c r="H20">
        <v>4.0311359977925426E-2</v>
      </c>
    </row>
    <row r="21" spans="2:8" x14ac:dyDescent="0.2">
      <c r="B21" s="16">
        <v>34851</v>
      </c>
      <c r="C21" s="43">
        <v>7.6891466562129293E-2</v>
      </c>
      <c r="D21" s="43">
        <v>0.11393488782649849</v>
      </c>
      <c r="E21" s="44">
        <v>0.123063313274642</v>
      </c>
      <c r="F21" s="44">
        <v>0.1136728455472133</v>
      </c>
      <c r="G21">
        <v>0.12024612943655326</v>
      </c>
      <c r="H21">
        <v>4.0466495970115805E-2</v>
      </c>
    </row>
    <row r="22" spans="2:8" x14ac:dyDescent="0.2">
      <c r="B22" s="16">
        <v>34943</v>
      </c>
      <c r="C22" s="43">
        <v>7.7186804297491501E-2</v>
      </c>
      <c r="D22" s="43">
        <v>0.11456846253481509</v>
      </c>
      <c r="E22" s="44">
        <v>0.123729567286001</v>
      </c>
      <c r="F22" s="44">
        <v>0.11431181545520258</v>
      </c>
      <c r="G22">
        <v>0.12090107744879801</v>
      </c>
      <c r="H22">
        <v>4.067987107031E-2</v>
      </c>
    </row>
    <row r="23" spans="2:8" x14ac:dyDescent="0.2">
      <c r="B23" s="16">
        <v>35034</v>
      </c>
      <c r="C23" s="43">
        <v>7.7629466493568264E-2</v>
      </c>
      <c r="D23" s="43">
        <v>0.11518104598086634</v>
      </c>
      <c r="E23" s="44">
        <v>0.12442468088740147</v>
      </c>
      <c r="F23" s="44">
        <v>0.11496022611756032</v>
      </c>
      <c r="G23">
        <v>0.12158646613445825</v>
      </c>
      <c r="H23">
        <v>4.0872492115649514E-2</v>
      </c>
    </row>
    <row r="24" spans="2:8" x14ac:dyDescent="0.2">
      <c r="B24" s="16">
        <v>35125</v>
      </c>
      <c r="C24" s="43">
        <v>7.7752972684011948E-2</v>
      </c>
      <c r="D24" s="43">
        <v>0.11570687115814084</v>
      </c>
      <c r="E24" s="44">
        <v>0.12499690402975493</v>
      </c>
      <c r="F24" s="44">
        <v>0.11561486855383321</v>
      </c>
      <c r="G24">
        <v>0.12228851082493045</v>
      </c>
      <c r="H24">
        <v>4.1107695745027817E-2</v>
      </c>
    </row>
    <row r="25" spans="2:8" x14ac:dyDescent="0.2">
      <c r="B25" s="16">
        <v>35217</v>
      </c>
      <c r="C25" s="43">
        <v>7.8202570307347494E-2</v>
      </c>
      <c r="D25" s="43">
        <v>0.11638477434343979</v>
      </c>
      <c r="E25" s="44">
        <v>0.12568661580804782</v>
      </c>
      <c r="F25" s="44">
        <v>0.11629106416369497</v>
      </c>
      <c r="G25">
        <v>0.12300303328081796</v>
      </c>
      <c r="H25">
        <v>4.134611732082278E-2</v>
      </c>
    </row>
    <row r="26" spans="2:8" x14ac:dyDescent="0.2">
      <c r="B26" s="16">
        <v>35309</v>
      </c>
      <c r="C26" s="43">
        <v>7.8541545944515248E-2</v>
      </c>
      <c r="D26" s="43">
        <v>0.11706266767231137</v>
      </c>
      <c r="E26" s="44">
        <v>0.12641315591188745</v>
      </c>
      <c r="F26" s="44">
        <v>0.11691471632701871</v>
      </c>
      <c r="G26">
        <v>0.12364541570828638</v>
      </c>
      <c r="H26">
        <v>4.1588499598303151E-2</v>
      </c>
    </row>
    <row r="27" spans="2:8" x14ac:dyDescent="0.2">
      <c r="B27" s="16">
        <v>35400</v>
      </c>
      <c r="C27" s="43">
        <v>7.8988940994691031E-2</v>
      </c>
      <c r="D27" s="43">
        <v>0.11774700561701162</v>
      </c>
      <c r="E27" s="44">
        <v>0.12703025875874177</v>
      </c>
      <c r="F27" s="44">
        <v>0.11761592833050896</v>
      </c>
      <c r="G27">
        <v>0.12438774446290171</v>
      </c>
      <c r="H27">
        <v>4.1838357419205552E-2</v>
      </c>
    </row>
    <row r="28" spans="2:8" x14ac:dyDescent="0.2">
      <c r="B28" s="16">
        <v>35490</v>
      </c>
      <c r="C28" s="43">
        <v>7.9474514235551685E-2</v>
      </c>
      <c r="D28" s="43">
        <v>0.11846024813165756</v>
      </c>
      <c r="E28" s="44">
        <v>0.12779983627073407</v>
      </c>
      <c r="F28" s="44">
        <v>0.11811501231946703</v>
      </c>
      <c r="G28">
        <v>0.12504471818460083</v>
      </c>
      <c r="H28">
        <v>4.149259627095838E-2</v>
      </c>
    </row>
    <row r="29" spans="2:8" x14ac:dyDescent="0.2">
      <c r="B29" s="16">
        <v>35582</v>
      </c>
      <c r="C29" s="43">
        <v>7.996927545538686E-2</v>
      </c>
      <c r="D29" s="43">
        <v>0.11908874977777444</v>
      </c>
      <c r="E29" s="44">
        <v>0.12856296469083722</v>
      </c>
      <c r="F29" s="44">
        <v>0.11884187794977567</v>
      </c>
      <c r="G29">
        <v>0.1258121313084454</v>
      </c>
      <c r="H29">
        <v>4.1744152722696687E-2</v>
      </c>
    </row>
    <row r="30" spans="2:8" x14ac:dyDescent="0.2">
      <c r="B30" s="16">
        <v>35674</v>
      </c>
      <c r="C30" s="43">
        <v>8.0413302271505963E-2</v>
      </c>
      <c r="D30" s="43">
        <v>0.11974025245167728</v>
      </c>
      <c r="E30" s="44">
        <v>0.12874037306763048</v>
      </c>
      <c r="F30" s="44">
        <v>0.11955433910769048</v>
      </c>
      <c r="G30">
        <v>0.12656524909123293</v>
      </c>
      <c r="H30">
        <v>4.1928556334622287E-2</v>
      </c>
    </row>
    <row r="31" spans="2:8" x14ac:dyDescent="0.2">
      <c r="B31" s="16">
        <v>35765</v>
      </c>
      <c r="C31" s="43">
        <v>8.052135333587418E-2</v>
      </c>
      <c r="D31" s="43">
        <v>0.12032915783960618</v>
      </c>
      <c r="E31" s="44">
        <v>0.12942737094815795</v>
      </c>
      <c r="F31" s="44">
        <v>0.12026963654845085</v>
      </c>
      <c r="G31">
        <v>0.12735173763167384</v>
      </c>
      <c r="H31">
        <v>4.2047943196843851E-2</v>
      </c>
    </row>
    <row r="32" spans="2:8" x14ac:dyDescent="0.2">
      <c r="B32" s="16">
        <v>35855</v>
      </c>
      <c r="C32" s="43">
        <v>8.1023361248242692E-2</v>
      </c>
      <c r="D32" s="43">
        <v>0.12109050565352712</v>
      </c>
      <c r="E32" s="44">
        <v>0.13021351332099237</v>
      </c>
      <c r="F32" s="44">
        <v>0.12098721433159604</v>
      </c>
      <c r="G32">
        <v>0.1280980773486852</v>
      </c>
      <c r="H32">
        <v>4.2282065286634453E-2</v>
      </c>
    </row>
    <row r="33" spans="2:8" x14ac:dyDescent="0.2">
      <c r="B33" s="16">
        <v>35947</v>
      </c>
      <c r="C33" s="43">
        <v>8.1544605224132011E-2</v>
      </c>
      <c r="D33" s="43">
        <v>0.12184376662417508</v>
      </c>
      <c r="E33" s="44">
        <v>0.13052333970141825</v>
      </c>
      <c r="F33" s="44">
        <v>0.12175543348572723</v>
      </c>
      <c r="G33">
        <v>0.12889265971256483</v>
      </c>
      <c r="H33">
        <v>4.2463002628941156E-2</v>
      </c>
    </row>
    <row r="34" spans="2:8" x14ac:dyDescent="0.2">
      <c r="B34" s="16">
        <v>36039</v>
      </c>
      <c r="C34" s="43">
        <v>8.2075936970248065E-2</v>
      </c>
      <c r="D34" s="43">
        <v>0.1226427253899761</v>
      </c>
      <c r="E34" s="44">
        <v>0.13072956871505931</v>
      </c>
      <c r="F34" s="44">
        <v>0.12251722458344558</v>
      </c>
      <c r="G34">
        <v>0.12967229892188767</v>
      </c>
      <c r="H34">
        <v>4.2739611283881478E-2</v>
      </c>
    </row>
    <row r="35" spans="2:8" x14ac:dyDescent="0.2">
      <c r="B35" s="16">
        <v>36130</v>
      </c>
      <c r="C35" s="43">
        <v>8.2573091223602527E-2</v>
      </c>
      <c r="D35" s="43">
        <v>0.12344460370708063</v>
      </c>
      <c r="E35" s="44">
        <v>0.13127957046453662</v>
      </c>
      <c r="F35" s="44">
        <v>0.12333052807064633</v>
      </c>
      <c r="G35">
        <v>0.13050032193350827</v>
      </c>
      <c r="H35">
        <v>4.3018405704158769E-2</v>
      </c>
    </row>
    <row r="36" spans="2:8" x14ac:dyDescent="0.2">
      <c r="B36" s="16">
        <v>36220</v>
      </c>
      <c r="C36" s="43">
        <v>8.3135008860812279E-2</v>
      </c>
      <c r="D36" s="43">
        <v>0.12424755371582075</v>
      </c>
      <c r="E36" s="44">
        <v>0.13142426085230344</v>
      </c>
      <c r="F36" s="44">
        <v>0.12408196753847271</v>
      </c>
      <c r="G36">
        <v>0.13121900153409594</v>
      </c>
      <c r="H36">
        <v>4.3259159967680302E-2</v>
      </c>
    </row>
    <row r="37" spans="2:8" x14ac:dyDescent="0.2">
      <c r="B37" s="16">
        <v>36312</v>
      </c>
      <c r="C37" s="43">
        <v>8.3108064917043326E-2</v>
      </c>
      <c r="D37" s="43">
        <v>0.12507540978051981</v>
      </c>
      <c r="E37" s="44">
        <v>0.13232048244563199</v>
      </c>
      <c r="F37" s="44">
        <v>0.12492834946320984</v>
      </c>
      <c r="G37">
        <v>0.13210614735096274</v>
      </c>
      <c r="H37">
        <v>4.3556468415995211E-2</v>
      </c>
    </row>
    <row r="38" spans="2:8" x14ac:dyDescent="0.2">
      <c r="B38" s="16">
        <v>36404</v>
      </c>
      <c r="C38" s="43">
        <v>8.368938273417223E-2</v>
      </c>
      <c r="D38" s="43">
        <v>0.12588206762479173</v>
      </c>
      <c r="E38" s="44">
        <v>0.13323502320695305</v>
      </c>
      <c r="F38" s="44">
        <v>0.12561310475995696</v>
      </c>
      <c r="G38">
        <v>0.13282555126943732</v>
      </c>
      <c r="H38">
        <v>4.3760031938320863E-2</v>
      </c>
    </row>
    <row r="39" spans="2:8" x14ac:dyDescent="0.2">
      <c r="B39" s="16">
        <v>36495</v>
      </c>
      <c r="C39" s="43">
        <v>8.4247026299049968E-2</v>
      </c>
      <c r="D39" s="43">
        <v>0.12676427998810355</v>
      </c>
      <c r="E39" s="44">
        <v>0.13412041654290455</v>
      </c>
      <c r="F39" s="44">
        <v>0.12647958515763502</v>
      </c>
      <c r="G39">
        <v>0.13375723137320036</v>
      </c>
      <c r="H39">
        <v>4.4048227976470483E-2</v>
      </c>
    </row>
    <row r="40" spans="2:8" x14ac:dyDescent="0.2">
      <c r="B40" s="16">
        <v>36586</v>
      </c>
      <c r="C40" s="43">
        <v>8.4850783874536734E-2</v>
      </c>
      <c r="D40" s="43">
        <v>0.12766539514414729</v>
      </c>
      <c r="E40" s="44">
        <v>0.13500470945261123</v>
      </c>
      <c r="F40" s="44">
        <v>0.12731125505270166</v>
      </c>
      <c r="G40">
        <v>0.13455579310395743</v>
      </c>
      <c r="H40">
        <v>4.4364088731427651E-2</v>
      </c>
    </row>
    <row r="41" spans="2:8" x14ac:dyDescent="0.2">
      <c r="B41" s="16">
        <v>36678</v>
      </c>
      <c r="C41" s="43">
        <v>8.5471828839687861E-2</v>
      </c>
      <c r="D41" s="43">
        <v>0.12858609143630612</v>
      </c>
      <c r="E41" s="44">
        <v>0.13568105930298918</v>
      </c>
      <c r="F41" s="44">
        <v>0.12822881004223388</v>
      </c>
      <c r="G41">
        <v>0.13547552309058189</v>
      </c>
      <c r="H41">
        <v>4.4687266858508295E-2</v>
      </c>
    </row>
    <row r="42" spans="2:8" x14ac:dyDescent="0.2">
      <c r="B42" s="16">
        <v>36770</v>
      </c>
      <c r="C42" s="43">
        <v>8.5708363440725105E-2</v>
      </c>
      <c r="D42" s="43">
        <v>0.12935031945648029</v>
      </c>
      <c r="E42" s="44">
        <v>0.13666274805409673</v>
      </c>
      <c r="F42" s="44">
        <v>0.12899056243948928</v>
      </c>
      <c r="G42">
        <v>0.13608470792830968</v>
      </c>
      <c r="H42">
        <v>4.4985924069121726E-2</v>
      </c>
    </row>
    <row r="43" spans="2:8" x14ac:dyDescent="0.2">
      <c r="B43" s="16">
        <v>36861</v>
      </c>
      <c r="C43" s="43">
        <v>8.5758721973011376E-2</v>
      </c>
      <c r="D43" s="43">
        <v>0.13004311466858118</v>
      </c>
      <c r="E43" s="44">
        <v>0.1376483082565047</v>
      </c>
      <c r="F43" s="44">
        <v>0.12967272341771383</v>
      </c>
      <c r="G43">
        <v>0.13661642909181596</v>
      </c>
      <c r="H43">
        <v>4.4667324718587462E-2</v>
      </c>
    </row>
    <row r="44" spans="2:8" x14ac:dyDescent="0.2">
      <c r="B44" s="16">
        <v>36951</v>
      </c>
      <c r="C44" s="43">
        <v>8.6415232564338085E-2</v>
      </c>
      <c r="D44" s="43">
        <v>0.13095336419828885</v>
      </c>
      <c r="E44" s="44">
        <v>0.13849402180993067</v>
      </c>
      <c r="F44" s="44">
        <v>0.13041506866889638</v>
      </c>
      <c r="G44">
        <v>0.13737139999539955</v>
      </c>
      <c r="H44">
        <v>4.467012386422451E-2</v>
      </c>
    </row>
    <row r="45" spans="2:8" x14ac:dyDescent="0.2">
      <c r="B45" s="16">
        <v>37043</v>
      </c>
      <c r="C45" s="43">
        <v>8.7076463824334621E-2</v>
      </c>
      <c r="D45" s="43">
        <v>0.13195680898238074</v>
      </c>
      <c r="E45" s="44">
        <v>0.13953079288755429</v>
      </c>
      <c r="F45" s="44">
        <v>0.13139225104425495</v>
      </c>
      <c r="G45">
        <v>0.13840158272353978</v>
      </c>
      <c r="H45">
        <v>4.5002313762747062E-2</v>
      </c>
    </row>
    <row r="46" spans="2:8" x14ac:dyDescent="0.2">
      <c r="B46" s="16">
        <v>37135</v>
      </c>
      <c r="C46" s="43">
        <v>8.7530648925608454E-2</v>
      </c>
      <c r="D46" s="43">
        <v>0.13236748334969517</v>
      </c>
      <c r="E46" s="44">
        <v>0.13945297923220623</v>
      </c>
      <c r="F46" s="44">
        <v>0.1322267706308467</v>
      </c>
      <c r="G46">
        <v>0.13932471124624424</v>
      </c>
      <c r="H46">
        <v>4.5018549168015128E-2</v>
      </c>
    </row>
    <row r="47" spans="2:8" x14ac:dyDescent="0.2">
      <c r="B47" s="16">
        <v>37226</v>
      </c>
      <c r="C47" s="43">
        <v>8.8220126440074861E-2</v>
      </c>
      <c r="D47" s="43">
        <v>0.13324606183679191</v>
      </c>
      <c r="E47" s="44">
        <v>0.14054505405810258</v>
      </c>
      <c r="F47" s="44">
        <v>0.13318473391766866</v>
      </c>
      <c r="G47">
        <v>0.14039718356978925</v>
      </c>
      <c r="H47">
        <v>4.5165113550692949E-2</v>
      </c>
    </row>
    <row r="48" spans="2:8" x14ac:dyDescent="0.2">
      <c r="B48" s="16">
        <v>37316</v>
      </c>
      <c r="C48" s="43">
        <v>8.8903878394597721E-2</v>
      </c>
      <c r="D48" s="43">
        <v>0.1342556981303375</v>
      </c>
      <c r="E48" s="44">
        <v>0.14140987190107554</v>
      </c>
      <c r="F48" s="44">
        <v>0.13419544850414641</v>
      </c>
      <c r="G48">
        <v>0.1413678298190334</v>
      </c>
      <c r="H48">
        <v>4.5533420111277451E-2</v>
      </c>
    </row>
    <row r="49" spans="2:8" x14ac:dyDescent="0.2">
      <c r="B49" s="16">
        <v>37408</v>
      </c>
      <c r="C49" s="43">
        <v>8.940257118064944E-2</v>
      </c>
      <c r="D49" s="43">
        <v>0.13527761241551925</v>
      </c>
      <c r="E49" s="44">
        <v>0.14255103276665401</v>
      </c>
      <c r="F49" s="44">
        <v>0.13520833769568055</v>
      </c>
      <c r="G49">
        <v>0.1425007554196453</v>
      </c>
      <c r="H49">
        <v>4.5860195127080894E-2</v>
      </c>
    </row>
    <row r="50" spans="2:8" x14ac:dyDescent="0.2">
      <c r="B50" s="16">
        <v>37500</v>
      </c>
      <c r="C50" s="43">
        <v>8.9089876527113213E-2</v>
      </c>
      <c r="D50" s="43">
        <v>0.13558373254978337</v>
      </c>
      <c r="E50" s="44">
        <v>0.14241995068107621</v>
      </c>
      <c r="F50" s="44">
        <v>0.13611494908893179</v>
      </c>
      <c r="G50">
        <v>0.14327833039623078</v>
      </c>
      <c r="H50">
        <v>4.5949939474131986E-2</v>
      </c>
    </row>
    <row r="51" spans="2:8" x14ac:dyDescent="0.2">
      <c r="B51" s="16">
        <v>37591</v>
      </c>
      <c r="C51" s="43">
        <v>8.9761786626573997E-2</v>
      </c>
      <c r="D51" s="43">
        <v>0.13667817765728588</v>
      </c>
      <c r="E51" s="44">
        <v>0.14303759427368945</v>
      </c>
      <c r="F51" s="44">
        <v>0.13714618672586529</v>
      </c>
      <c r="G51">
        <v>0.14432514537552177</v>
      </c>
      <c r="H51">
        <v>4.6262314195584728E-2</v>
      </c>
    </row>
    <row r="52" spans="2:8" x14ac:dyDescent="0.2">
      <c r="B52" s="16">
        <v>37681</v>
      </c>
      <c r="C52" s="43">
        <v>9.0322564549279394E-2</v>
      </c>
      <c r="D52" s="43">
        <v>0.13783838564679182</v>
      </c>
      <c r="E52" s="44">
        <v>0.14399180717250823</v>
      </c>
      <c r="F52" s="44">
        <v>0.13820945319219896</v>
      </c>
      <c r="G52">
        <v>0.14524715543769048</v>
      </c>
      <c r="H52">
        <v>4.6602259704512886E-2</v>
      </c>
    </row>
    <row r="53" spans="2:8" x14ac:dyDescent="0.2">
      <c r="B53" s="16">
        <v>37773</v>
      </c>
      <c r="C53" s="43">
        <v>9.0650961073600711E-2</v>
      </c>
      <c r="D53" s="43">
        <v>0.13903841099055406</v>
      </c>
      <c r="E53" s="44">
        <v>0.14519566479766918</v>
      </c>
      <c r="F53" s="44">
        <v>0.13941650056871766</v>
      </c>
      <c r="G53">
        <v>0.14649705584098727</v>
      </c>
      <c r="H53">
        <v>4.7005249292833957E-2</v>
      </c>
    </row>
    <row r="54" spans="2:8" x14ac:dyDescent="0.2">
      <c r="B54" s="16">
        <v>37865</v>
      </c>
      <c r="C54" s="43">
        <v>9.1095024607920488E-2</v>
      </c>
      <c r="D54" s="43">
        <v>0.14024644285492868</v>
      </c>
      <c r="E54" s="44">
        <v>0.1464785028333293</v>
      </c>
      <c r="F54" s="44">
        <v>0.14051383005526105</v>
      </c>
      <c r="G54">
        <v>0.14753536026877734</v>
      </c>
      <c r="H54">
        <v>4.7333163830773378E-2</v>
      </c>
    </row>
    <row r="55" spans="2:8" x14ac:dyDescent="0.2">
      <c r="B55" s="16">
        <v>37956</v>
      </c>
      <c r="C55" s="43">
        <v>9.1442897728724298E-2</v>
      </c>
      <c r="D55" s="43">
        <v>0.14103455738395651</v>
      </c>
      <c r="E55" s="44">
        <v>0.14729804844690098</v>
      </c>
      <c r="F55" s="44">
        <v>0.14174704438917962</v>
      </c>
      <c r="G55">
        <v>0.14875419409405868</v>
      </c>
      <c r="H55">
        <v>4.7758075945638474E-2</v>
      </c>
    </row>
    <row r="56" spans="2:8" x14ac:dyDescent="0.2">
      <c r="B56" s="16">
        <v>38047</v>
      </c>
      <c r="C56" s="43">
        <v>9.2295776817478262E-2</v>
      </c>
      <c r="D56" s="43">
        <v>0.14233086197608658</v>
      </c>
      <c r="E56" s="44">
        <v>0.14854462789329104</v>
      </c>
      <c r="F56" s="44">
        <v>0.14287024510200116</v>
      </c>
      <c r="G56">
        <v>0.14983611434035984</v>
      </c>
      <c r="H56">
        <v>4.8171217112865865E-2</v>
      </c>
    </row>
    <row r="57" spans="2:8" x14ac:dyDescent="0.2">
      <c r="B57" s="16">
        <v>38139</v>
      </c>
      <c r="C57" s="43">
        <v>9.3044870490824536E-2</v>
      </c>
      <c r="D57" s="43">
        <v>0.14363421512193064</v>
      </c>
      <c r="E57" s="44">
        <v>0.14963143051572741</v>
      </c>
      <c r="F57" s="44">
        <v>0.1442027205549111</v>
      </c>
      <c r="G57">
        <v>0.15123687066093131</v>
      </c>
      <c r="H57">
        <v>4.8334093965331726E-2</v>
      </c>
    </row>
    <row r="58" spans="2:8" x14ac:dyDescent="0.2">
      <c r="B58" s="16">
        <v>38231</v>
      </c>
      <c r="C58" s="43">
        <v>8.9753083337032913E-2</v>
      </c>
      <c r="D58" s="43">
        <v>0.14491007242870138</v>
      </c>
      <c r="E58" s="44">
        <v>0.15102654177199296</v>
      </c>
      <c r="F58" s="44">
        <v>0.14557264610147197</v>
      </c>
      <c r="G58">
        <v>0.15260401497532597</v>
      </c>
      <c r="H58">
        <v>4.8803846231037458E-2</v>
      </c>
    </row>
    <row r="59" spans="2:8" x14ac:dyDescent="0.2">
      <c r="B59" s="16">
        <v>38322</v>
      </c>
      <c r="C59" s="43">
        <v>8.9987941653771761E-2</v>
      </c>
      <c r="D59" s="43">
        <v>0.14630419390185256</v>
      </c>
      <c r="E59" s="44">
        <v>0.15249238651448582</v>
      </c>
      <c r="F59" s="44">
        <v>0.14695146842365178</v>
      </c>
      <c r="G59">
        <v>0.15405571421346315</v>
      </c>
      <c r="H59">
        <v>4.9235381482909492E-2</v>
      </c>
    </row>
    <row r="60" spans="2:8" x14ac:dyDescent="0.2">
      <c r="B60" s="16">
        <v>38412</v>
      </c>
      <c r="C60" s="43">
        <v>9.0857857815011545E-2</v>
      </c>
      <c r="D60" s="43">
        <v>0.14775979918273746</v>
      </c>
      <c r="E60" s="44">
        <v>0.15398880986126143</v>
      </c>
      <c r="F60" s="44">
        <v>0.14831119861701866</v>
      </c>
      <c r="G60">
        <v>0.15557189720838602</v>
      </c>
      <c r="H60">
        <v>4.9671454697179263E-2</v>
      </c>
    </row>
    <row r="61" spans="2:8" x14ac:dyDescent="0.2">
      <c r="B61" s="16">
        <v>38504</v>
      </c>
      <c r="C61" s="43">
        <v>9.1794387965929508E-2</v>
      </c>
      <c r="D61" s="43">
        <v>0.14925723134908128</v>
      </c>
      <c r="E61" s="44">
        <v>0.15530461747185195</v>
      </c>
      <c r="F61" s="44">
        <v>0.14973121689281338</v>
      </c>
      <c r="G61">
        <v>0.15704636684635093</v>
      </c>
      <c r="H61">
        <v>5.0040724347703777E-2</v>
      </c>
    </row>
    <row r="62" spans="2:8" x14ac:dyDescent="0.2">
      <c r="B62" s="16">
        <v>38596</v>
      </c>
      <c r="C62" s="43">
        <v>9.2675875937289293E-2</v>
      </c>
      <c r="D62" s="43">
        <v>0.15079540026591248</v>
      </c>
      <c r="E62" s="44">
        <v>0.1567501412136367</v>
      </c>
      <c r="F62" s="44">
        <v>0.15125981308805578</v>
      </c>
      <c r="G62">
        <v>0.15860240851704585</v>
      </c>
      <c r="H62">
        <v>5.0569934720331645E-2</v>
      </c>
    </row>
    <row r="63" spans="2:8" x14ac:dyDescent="0.2">
      <c r="B63" s="16">
        <v>38687</v>
      </c>
      <c r="C63" s="43">
        <v>9.341982319512307E-2</v>
      </c>
      <c r="D63" s="43">
        <v>0.15229464867158221</v>
      </c>
      <c r="E63" s="44">
        <v>0.15815344084435382</v>
      </c>
      <c r="F63" s="44">
        <v>0.15284200768995596</v>
      </c>
      <c r="G63">
        <v>0.16025240566665139</v>
      </c>
      <c r="H63">
        <v>5.0778020067894072E-2</v>
      </c>
    </row>
    <row r="64" spans="2:8" x14ac:dyDescent="0.2">
      <c r="B64" s="16">
        <v>38777</v>
      </c>
      <c r="C64" s="43">
        <v>9.4206410187469183E-2</v>
      </c>
      <c r="D64" s="43">
        <v>0.15391556276238322</v>
      </c>
      <c r="E64" s="44">
        <v>0.1598390239236655</v>
      </c>
      <c r="F64" s="44">
        <v>0.15444822353782284</v>
      </c>
      <c r="G64">
        <v>0.16192845247253115</v>
      </c>
      <c r="H64">
        <v>5.1289621718746528E-2</v>
      </c>
    </row>
    <row r="65" spans="2:8" x14ac:dyDescent="0.2">
      <c r="B65" s="16">
        <v>38869</v>
      </c>
      <c r="C65" s="43">
        <v>9.5265738876281258E-2</v>
      </c>
      <c r="D65" s="43">
        <v>0.15560867140750279</v>
      </c>
      <c r="E65" s="44">
        <v>0.16136122816456672</v>
      </c>
      <c r="F65" s="44">
        <v>0.15611656348506212</v>
      </c>
      <c r="G65">
        <v>0.16353637927279532</v>
      </c>
      <c r="H65">
        <v>5.1689759887082055E-2</v>
      </c>
    </row>
    <row r="66" spans="2:8" x14ac:dyDescent="0.2">
      <c r="B66" s="16">
        <v>38961</v>
      </c>
      <c r="C66" s="43">
        <v>9.6361467180378205E-2</v>
      </c>
      <c r="D66" s="43">
        <v>0.15704615782221418</v>
      </c>
      <c r="E66" s="44">
        <v>0.16316655468613614</v>
      </c>
      <c r="F66" s="44">
        <v>0.15773378568055874</v>
      </c>
      <c r="G66">
        <v>0.16513559364251351</v>
      </c>
      <c r="H66">
        <v>5.2248769938797082E-2</v>
      </c>
    </row>
    <row r="67" spans="2:8" x14ac:dyDescent="0.2">
      <c r="B67" s="16">
        <v>39052</v>
      </c>
      <c r="C67" s="43">
        <v>9.5843041711076105E-2</v>
      </c>
      <c r="D67" s="43">
        <v>0.1587807949231192</v>
      </c>
      <c r="E67" s="44">
        <v>0.16409270543793134</v>
      </c>
      <c r="F67" s="44">
        <v>0.15949410510262993</v>
      </c>
      <c r="G67">
        <v>0.16701529470842266</v>
      </c>
      <c r="H67">
        <v>5.2423796289972353E-2</v>
      </c>
    </row>
    <row r="68" spans="2:8" x14ac:dyDescent="0.2">
      <c r="B68" s="16">
        <v>39142</v>
      </c>
      <c r="C68" s="43">
        <v>9.4346407250935529E-2</v>
      </c>
      <c r="D68" s="43">
        <v>0.16056126808699947</v>
      </c>
      <c r="E68" s="44">
        <v>0.16514357876673699</v>
      </c>
      <c r="F68" s="44">
        <v>0.16111606046026994</v>
      </c>
      <c r="G68">
        <v>0.16880790227086517</v>
      </c>
      <c r="H68">
        <v>5.283688618291324E-2</v>
      </c>
    </row>
    <row r="69" spans="2:8" x14ac:dyDescent="0.2">
      <c r="B69" s="16">
        <v>39234</v>
      </c>
      <c r="C69" s="43">
        <v>9.2682545991648602E-2</v>
      </c>
      <c r="D69" s="43">
        <v>0.1625021156246711</v>
      </c>
      <c r="E69" s="44">
        <v>0.16687421137182362</v>
      </c>
      <c r="F69" s="44">
        <v>0.16299939208373718</v>
      </c>
      <c r="G69">
        <v>0.17076251252400237</v>
      </c>
      <c r="H69">
        <v>5.25901470516374E-2</v>
      </c>
    </row>
    <row r="70" spans="2:8" x14ac:dyDescent="0.2">
      <c r="B70" s="16">
        <v>39326</v>
      </c>
      <c r="C70" s="43">
        <v>9.3689035358575659E-2</v>
      </c>
      <c r="D70" s="43">
        <v>0.16441338524105695</v>
      </c>
      <c r="E70" s="44">
        <v>0.16728140061109942</v>
      </c>
      <c r="F70" s="44">
        <v>0.16468165917015309</v>
      </c>
      <c r="G70">
        <v>0.17256405000463462</v>
      </c>
      <c r="H70">
        <v>5.2953614586698054E-2</v>
      </c>
    </row>
    <row r="71" spans="2:8" x14ac:dyDescent="0.2">
      <c r="B71" s="16">
        <v>39417</v>
      </c>
      <c r="C71" s="43">
        <v>9.4822458574697441E-2</v>
      </c>
      <c r="D71" s="43">
        <v>0.16646981660899385</v>
      </c>
      <c r="E71" s="44">
        <v>0.16940660729123</v>
      </c>
      <c r="F71" s="44">
        <v>0.16677932161713344</v>
      </c>
      <c r="G71">
        <v>0.17475491122135331</v>
      </c>
      <c r="H71">
        <v>5.3576888339875159E-2</v>
      </c>
    </row>
    <row r="72" spans="2:8" x14ac:dyDescent="0.2">
      <c r="B72" s="16">
        <v>39508</v>
      </c>
      <c r="C72" s="43">
        <v>9.5142657339972139E-2</v>
      </c>
      <c r="D72" s="43">
        <v>0.16837622078972131</v>
      </c>
      <c r="E72" s="44">
        <v>0.17161492547003981</v>
      </c>
      <c r="F72" s="44">
        <v>0.16872518597962005</v>
      </c>
      <c r="G72">
        <v>0.17670558554164348</v>
      </c>
      <c r="H72">
        <v>5.418835046476142E-2</v>
      </c>
    </row>
    <row r="73" spans="2:8" x14ac:dyDescent="0.2">
      <c r="B73" s="16">
        <v>39600</v>
      </c>
      <c r="C73" s="43">
        <v>9.5703401583113357E-2</v>
      </c>
      <c r="D73" s="43">
        <v>0.17063330798250756</v>
      </c>
      <c r="E73" s="44">
        <v>0.1738916838568495</v>
      </c>
      <c r="F73" s="44">
        <v>0.17075403869290193</v>
      </c>
      <c r="G73">
        <v>0.17864193161907177</v>
      </c>
      <c r="H73">
        <v>5.3920820915085536E-2</v>
      </c>
    </row>
    <row r="74" spans="2:8" x14ac:dyDescent="0.2">
      <c r="B74" s="16">
        <v>39692</v>
      </c>
      <c r="C74" s="43">
        <v>9.5649769087577621E-2</v>
      </c>
      <c r="D74" s="43">
        <v>0.17298613854213421</v>
      </c>
      <c r="E74" s="44">
        <v>0.1760895726332021</v>
      </c>
      <c r="F74" s="44">
        <v>0.17310246818641919</v>
      </c>
      <c r="G74">
        <v>0.18099919956119531</v>
      </c>
      <c r="H74">
        <v>5.4570659194349481E-2</v>
      </c>
    </row>
    <row r="75" spans="2:8" x14ac:dyDescent="0.2">
      <c r="B75" s="16">
        <v>39783</v>
      </c>
      <c r="C75" s="43">
        <v>9.6523726248464392E-2</v>
      </c>
      <c r="D75" s="43">
        <v>0.17542833364448204</v>
      </c>
      <c r="E75" s="44">
        <v>0.17852738551899791</v>
      </c>
      <c r="F75" s="44">
        <v>0.17550531333955158</v>
      </c>
      <c r="G75">
        <v>0.18337328523478971</v>
      </c>
      <c r="H75">
        <v>5.4833949392684114E-2</v>
      </c>
    </row>
    <row r="76" spans="2:8" x14ac:dyDescent="0.2">
      <c r="B76" s="16">
        <v>39873</v>
      </c>
      <c r="C76" s="43">
        <v>9.6816351662805722E-2</v>
      </c>
      <c r="D76" s="43">
        <v>0.17793107270978215</v>
      </c>
      <c r="E76" s="44">
        <v>0.18111132126582691</v>
      </c>
      <c r="F76" s="44">
        <v>0.17805845274826937</v>
      </c>
      <c r="G76">
        <v>0.1860300084464627</v>
      </c>
      <c r="H76">
        <v>5.5247266828042818E-2</v>
      </c>
    </row>
    <row r="77" spans="2:8" x14ac:dyDescent="0.2">
      <c r="B77" s="16">
        <v>39965</v>
      </c>
      <c r="C77" s="43">
        <v>9.829913077705528E-2</v>
      </c>
      <c r="D77" s="43">
        <v>0.18056413833223678</v>
      </c>
      <c r="E77" s="44">
        <v>0.18272733511398273</v>
      </c>
      <c r="F77" s="44">
        <v>0.18073602288077051</v>
      </c>
      <c r="G77">
        <v>0.18873038102321407</v>
      </c>
      <c r="H77">
        <v>5.6101799548414572E-2</v>
      </c>
    </row>
    <row r="78" spans="2:8" x14ac:dyDescent="0.2">
      <c r="B78" s="16">
        <v>40057</v>
      </c>
      <c r="C78" s="43">
        <v>9.9756579171924584E-2</v>
      </c>
      <c r="D78" s="43">
        <v>0.18312752791184453</v>
      </c>
      <c r="E78" s="44">
        <v>0.18544767267330797</v>
      </c>
      <c r="F78" s="44">
        <v>0.18305006998218157</v>
      </c>
      <c r="G78">
        <v>0.19066726389501359</v>
      </c>
      <c r="H78">
        <v>5.6908136523052009E-2</v>
      </c>
    </row>
    <row r="79" spans="2:8" x14ac:dyDescent="0.2">
      <c r="B79" s="16">
        <v>40148</v>
      </c>
      <c r="C79" s="43">
        <v>0.10138640297425329</v>
      </c>
      <c r="D79" s="43">
        <v>0.18605662200323653</v>
      </c>
      <c r="E79" s="44">
        <v>0.18840995306259217</v>
      </c>
      <c r="F79" s="44">
        <v>0.1857964024899299</v>
      </c>
      <c r="G79">
        <v>0.19366026631293556</v>
      </c>
      <c r="H79">
        <v>5.7044832167156258E-2</v>
      </c>
    </row>
    <row r="80" spans="2:8" x14ac:dyDescent="0.2">
      <c r="B80" s="16">
        <v>40238</v>
      </c>
      <c r="C80" s="43">
        <v>0.10117174298751382</v>
      </c>
      <c r="D80" s="43">
        <v>0.18830019956418426</v>
      </c>
      <c r="E80" s="44">
        <v>0.19121911553533544</v>
      </c>
      <c r="F80" s="44">
        <v>0.18747746901238035</v>
      </c>
      <c r="G80">
        <v>0.19391927628918579</v>
      </c>
      <c r="H80">
        <v>5.7650284553842711E-2</v>
      </c>
    </row>
    <row r="81" spans="2:8" x14ac:dyDescent="0.2">
      <c r="B81" s="16">
        <v>40330</v>
      </c>
      <c r="C81" s="43">
        <v>0.10274651227860007</v>
      </c>
      <c r="D81" s="43">
        <v>0.19131638452636993</v>
      </c>
      <c r="E81" s="44">
        <v>0.19322157582489385</v>
      </c>
      <c r="F81" s="44">
        <v>0.19065777060598013</v>
      </c>
      <c r="G81">
        <v>0.19723263864508928</v>
      </c>
      <c r="H81">
        <v>5.8514902934681305E-2</v>
      </c>
    </row>
    <row r="82" spans="2:8" x14ac:dyDescent="0.2">
      <c r="B82" s="16">
        <v>40422</v>
      </c>
      <c r="C82" s="43">
        <v>0.10074081025669843</v>
      </c>
      <c r="D82" s="43">
        <v>0.19433702599915278</v>
      </c>
      <c r="E82" s="44">
        <v>0.19649327735659758</v>
      </c>
      <c r="F82" s="44">
        <v>0.1936562092203532</v>
      </c>
      <c r="G82">
        <v>0.20030394520731226</v>
      </c>
      <c r="H82">
        <v>5.8838933705880371E-2</v>
      </c>
    </row>
    <row r="83" spans="2:8" x14ac:dyDescent="0.2">
      <c r="B83" s="16">
        <v>40513</v>
      </c>
      <c r="C83" s="43">
        <v>9.9430822052890958E-2</v>
      </c>
      <c r="D83" s="43">
        <v>0.19790018566199505</v>
      </c>
      <c r="E83" s="44">
        <v>0.19979504303224691</v>
      </c>
      <c r="F83" s="44">
        <v>0.1972084630052772</v>
      </c>
      <c r="G83">
        <v>0.20396685054892158</v>
      </c>
      <c r="H83">
        <v>5.9840817032113927E-2</v>
      </c>
    </row>
    <row r="84" spans="2:8" x14ac:dyDescent="0.2">
      <c r="B84" s="16">
        <v>40603</v>
      </c>
      <c r="C84" s="43">
        <v>9.9716490963020585E-2</v>
      </c>
      <c r="D84" s="43">
        <v>0.201669513439906</v>
      </c>
      <c r="E84" s="44">
        <v>0.20313671734608757</v>
      </c>
      <c r="F84" s="44">
        <v>0.20063038166809133</v>
      </c>
      <c r="G84">
        <v>0.20752806197632481</v>
      </c>
      <c r="H84">
        <v>6.1015841421422412E-2</v>
      </c>
    </row>
    <row r="85" spans="2:8" x14ac:dyDescent="0.2">
      <c r="B85" s="16">
        <v>40695</v>
      </c>
      <c r="C85" s="43">
        <v>9.9603782155514409E-2</v>
      </c>
      <c r="D85" s="43">
        <v>0.20563449093472649</v>
      </c>
      <c r="E85" s="44">
        <v>0.20693130197123311</v>
      </c>
      <c r="F85" s="44">
        <v>0.20346843373700244</v>
      </c>
      <c r="G85">
        <v>0.21124880877177982</v>
      </c>
      <c r="H85">
        <v>4.7210773886231648E-2</v>
      </c>
    </row>
    <row r="86" spans="2:8" x14ac:dyDescent="0.2">
      <c r="B86" s="16">
        <v>40787</v>
      </c>
      <c r="C86" s="43">
        <v>9.9515486453794738E-2</v>
      </c>
      <c r="D86" s="43">
        <v>0.20969054258336986</v>
      </c>
      <c r="E86" s="44">
        <v>0.21050952948748014</v>
      </c>
      <c r="F86" s="44">
        <v>0.20746780212769922</v>
      </c>
      <c r="G86">
        <v>0.2144093936453611</v>
      </c>
      <c r="H86">
        <v>3.6635825639195638E-2</v>
      </c>
    </row>
    <row r="87" spans="2:8" x14ac:dyDescent="0.2">
      <c r="B87" s="16">
        <v>40878</v>
      </c>
      <c r="C87" s="43">
        <v>9.8135196763761631E-2</v>
      </c>
      <c r="D87" s="43">
        <v>0.21419994768746342</v>
      </c>
      <c r="E87" s="44">
        <v>0.21330606719345058</v>
      </c>
      <c r="F87" s="44">
        <v>0.21182222248872648</v>
      </c>
      <c r="G87">
        <v>0.21863673216130375</v>
      </c>
      <c r="H87">
        <v>3.5059337523974769E-2</v>
      </c>
    </row>
    <row r="88" spans="2:8" x14ac:dyDescent="0.2">
      <c r="B88" s="16">
        <v>40969</v>
      </c>
      <c r="C88" s="43">
        <v>9.6584398895261839E-2</v>
      </c>
      <c r="D88" s="43">
        <v>0.21901391276972376</v>
      </c>
      <c r="E88" s="44">
        <v>0.21808925826792977</v>
      </c>
      <c r="F88" s="44">
        <v>0.21655882064914606</v>
      </c>
      <c r="G88">
        <v>0.22342226872817234</v>
      </c>
      <c r="H88">
        <v>3.4316218460611177E-2</v>
      </c>
    </row>
    <row r="89" spans="2:8" x14ac:dyDescent="0.2">
      <c r="B89" s="16">
        <v>41061</v>
      </c>
      <c r="C89" s="43">
        <v>9.8733318830088707E-2</v>
      </c>
      <c r="D89" s="43">
        <v>0.22409693933861494</v>
      </c>
      <c r="E89" s="44">
        <v>0.22216777491326603</v>
      </c>
      <c r="F89" s="44">
        <v>0.21998548892793687</v>
      </c>
      <c r="G89">
        <v>0.22624536607884707</v>
      </c>
      <c r="H89">
        <v>3.3783418162958476E-2</v>
      </c>
    </row>
    <row r="90" spans="2:8" x14ac:dyDescent="0.2">
      <c r="B90" s="16">
        <v>41153</v>
      </c>
      <c r="C90" s="43">
        <v>0.10121289211643152</v>
      </c>
      <c r="D90" s="43">
        <v>0.22961280523057062</v>
      </c>
      <c r="E90" s="44">
        <v>0.22715691628067156</v>
      </c>
      <c r="F90" s="44">
        <v>0.225260068871317</v>
      </c>
      <c r="G90">
        <v>0.23170287536208778</v>
      </c>
      <c r="H90">
        <v>3.4559778854100283E-2</v>
      </c>
    </row>
    <row r="91" spans="2:8" x14ac:dyDescent="0.2">
      <c r="B91" s="16">
        <v>41244</v>
      </c>
      <c r="C91" s="43">
        <v>0.10352786513623538</v>
      </c>
      <c r="D91" s="43">
        <v>0.23557101870326796</v>
      </c>
      <c r="E91" s="44">
        <v>0.23293238654850609</v>
      </c>
      <c r="F91" s="44">
        <v>0.23110558545943019</v>
      </c>
      <c r="G91">
        <v>0.23769542838365165</v>
      </c>
      <c r="H91">
        <v>3.0429886127301606E-2</v>
      </c>
    </row>
    <row r="92" spans="2:8" x14ac:dyDescent="0.2">
      <c r="B92" s="16">
        <v>41334</v>
      </c>
      <c r="C92" s="43">
        <v>0.10275483719572608</v>
      </c>
      <c r="D92" s="43">
        <v>0.24181008805054116</v>
      </c>
      <c r="E92" s="44">
        <v>0.23849101207207365</v>
      </c>
      <c r="F92" s="44">
        <v>0.23630495680254091</v>
      </c>
      <c r="G92">
        <v>0.24253776754124082</v>
      </c>
      <c r="H92">
        <v>2.8083017944187574E-2</v>
      </c>
    </row>
    <row r="93" spans="2:8" x14ac:dyDescent="0.2">
      <c r="B93" s="16">
        <v>41426</v>
      </c>
      <c r="C93" s="43">
        <v>0.10125758872155188</v>
      </c>
      <c r="D93" s="43">
        <v>0.24872850193383292</v>
      </c>
      <c r="E93" s="44">
        <v>0.24521776972825443</v>
      </c>
      <c r="F93" s="44">
        <v>0.24312099476766189</v>
      </c>
      <c r="G93">
        <v>0.2495692716294633</v>
      </c>
      <c r="H93">
        <v>2.7593869245957449E-2</v>
      </c>
    </row>
    <row r="94" spans="2:8" x14ac:dyDescent="0.2">
      <c r="B94" s="16">
        <v>41518</v>
      </c>
      <c r="C94" s="43">
        <v>0.10348034780701465</v>
      </c>
      <c r="D94" s="43">
        <v>0.25626932396719199</v>
      </c>
      <c r="E94" s="44">
        <v>0.2507611163555612</v>
      </c>
      <c r="F94" s="44">
        <v>0.24973765193852823</v>
      </c>
      <c r="G94">
        <v>0.2563637919725324</v>
      </c>
      <c r="H94">
        <v>2.7563140233900382E-2</v>
      </c>
    </row>
    <row r="95" spans="2:8" x14ac:dyDescent="0.2">
      <c r="B95" s="16">
        <v>41609</v>
      </c>
      <c r="C95" s="43">
        <v>0.10433537684778621</v>
      </c>
      <c r="D95" s="43">
        <v>0.26352937462380421</v>
      </c>
      <c r="E95" s="44">
        <v>0.25848603231345413</v>
      </c>
      <c r="F95" s="44">
        <v>0.25731862075357775</v>
      </c>
      <c r="G95">
        <v>0.26411787916276647</v>
      </c>
      <c r="H95">
        <v>2.8269436666086289E-2</v>
      </c>
    </row>
    <row r="96" spans="2:8" x14ac:dyDescent="0.2">
      <c r="B96" s="16">
        <v>41699</v>
      </c>
      <c r="C96" s="43">
        <v>0.10800662973295413</v>
      </c>
      <c r="D96" s="43">
        <v>0.2700164604652891</v>
      </c>
      <c r="E96" s="44">
        <v>0.2653347475260695</v>
      </c>
      <c r="F96" s="44">
        <v>0.26580194586645833</v>
      </c>
      <c r="G96">
        <v>0.27007477434648924</v>
      </c>
      <c r="H96">
        <v>2.8709331407640364E-2</v>
      </c>
    </row>
    <row r="97" spans="2:8" x14ac:dyDescent="0.2">
      <c r="B97" s="16">
        <v>41791</v>
      </c>
      <c r="C97" s="43">
        <v>0.11158630738945924</v>
      </c>
      <c r="D97" s="43">
        <v>0.27925925464997176</v>
      </c>
      <c r="E97" s="44">
        <v>0.27445938036575179</v>
      </c>
      <c r="F97" s="44">
        <v>0.27350966394322179</v>
      </c>
      <c r="G97">
        <v>0.28026671601180908</v>
      </c>
      <c r="H97">
        <v>2.048978479385322E-2</v>
      </c>
    </row>
    <row r="98" spans="2:8" x14ac:dyDescent="0.2">
      <c r="B98" s="16">
        <v>41883</v>
      </c>
      <c r="C98" s="43">
        <v>0.11654133500728033</v>
      </c>
      <c r="D98" s="43">
        <v>0.28835074463904353</v>
      </c>
      <c r="E98" s="44">
        <v>0.28495164414404012</v>
      </c>
      <c r="F98" s="44">
        <v>0.28397576283197856</v>
      </c>
      <c r="G98">
        <v>0.28921416801810818</v>
      </c>
      <c r="H98">
        <v>1.9308783880193647E-2</v>
      </c>
    </row>
    <row r="99" spans="2:8" x14ac:dyDescent="0.2">
      <c r="B99" s="16">
        <v>41974</v>
      </c>
      <c r="C99" s="43">
        <v>0.12220365018720523</v>
      </c>
      <c r="D99" s="43">
        <v>0.29956743013699599</v>
      </c>
      <c r="E99" s="44">
        <v>0.29715718755514398</v>
      </c>
      <c r="F99" s="44">
        <v>0.29508835546179241</v>
      </c>
      <c r="G99">
        <v>0.30131672059234543</v>
      </c>
      <c r="H99">
        <v>1.8667796453176743E-2</v>
      </c>
    </row>
    <row r="100" spans="2:8" x14ac:dyDescent="0.2">
      <c r="B100" s="16">
        <v>42064</v>
      </c>
      <c r="C100" s="43">
        <v>0.1210156746766325</v>
      </c>
      <c r="D100" s="43">
        <v>0.31345496601039852</v>
      </c>
      <c r="E100" s="44">
        <v>0.30996076986116222</v>
      </c>
      <c r="F100" s="44">
        <v>0.30701907040466336</v>
      </c>
      <c r="G100">
        <v>0.31021653421821327</v>
      </c>
      <c r="H100">
        <v>1.8919646695116615E-2</v>
      </c>
    </row>
    <row r="101" spans="2:8" x14ac:dyDescent="0.2">
      <c r="B101" s="16">
        <v>42156</v>
      </c>
      <c r="C101" s="43">
        <v>0.11925673766771816</v>
      </c>
      <c r="D101" s="43">
        <v>0.32672098095048063</v>
      </c>
      <c r="E101" s="44">
        <v>0.32472452008349428</v>
      </c>
      <c r="F101" s="44">
        <v>0.32225504039270342</v>
      </c>
      <c r="G101">
        <v>0.32670881853171024</v>
      </c>
      <c r="H101">
        <v>1.9655804853524583E-2</v>
      </c>
    </row>
    <row r="102" spans="2:8" x14ac:dyDescent="0.2">
      <c r="B102" s="16">
        <v>42248</v>
      </c>
      <c r="C102" s="43">
        <v>0.1134390425572368</v>
      </c>
      <c r="D102" s="43">
        <v>0.34041950050234066</v>
      </c>
      <c r="E102" s="44">
        <v>0.33587153334763692</v>
      </c>
      <c r="F102" s="44">
        <v>0.33611820902622175</v>
      </c>
      <c r="G102">
        <v>0.33701188608958765</v>
      </c>
      <c r="H102">
        <v>1.8019371474743088E-2</v>
      </c>
    </row>
    <row r="103" spans="2:8" x14ac:dyDescent="0.2">
      <c r="B103" s="16">
        <v>42339</v>
      </c>
      <c r="C103" s="43">
        <v>0.12189886076873589</v>
      </c>
      <c r="D103" s="43">
        <v>0.35967084874701227</v>
      </c>
      <c r="E103" s="44">
        <v>0.35606018928215777</v>
      </c>
      <c r="F103" s="44">
        <v>0.35474907154456958</v>
      </c>
      <c r="G103">
        <v>0.35565993923118949</v>
      </c>
      <c r="H103">
        <v>1.9463145524974874E-2</v>
      </c>
    </row>
    <row r="104" spans="2:8" x14ac:dyDescent="0.2">
      <c r="B104" s="16">
        <v>42430</v>
      </c>
      <c r="C104" s="43">
        <v>0.133019580249851</v>
      </c>
      <c r="D104" s="43">
        <v>0.38704394558894545</v>
      </c>
      <c r="E104" s="44">
        <v>0.38413623783398959</v>
      </c>
      <c r="F104" s="44">
        <v>0.37653877883765202</v>
      </c>
      <c r="G104">
        <v>0.37744231535421069</v>
      </c>
      <c r="H104">
        <v>2.1018255498596296E-2</v>
      </c>
    </row>
    <row r="105" spans="2:8" x14ac:dyDescent="0.2">
      <c r="B105" s="16">
        <v>42522</v>
      </c>
      <c r="C105" s="43">
        <v>0.14856576837307828</v>
      </c>
      <c r="D105" s="43">
        <v>0.41738414895799358</v>
      </c>
      <c r="E105" s="44">
        <v>0.41285482977609494</v>
      </c>
      <c r="F105" s="44">
        <v>0.40798854517633537</v>
      </c>
      <c r="G105">
        <v>0.41050839303693482</v>
      </c>
      <c r="H105">
        <v>1.9574029721174294E-2</v>
      </c>
    </row>
    <row r="106" spans="2:8" x14ac:dyDescent="0.2">
      <c r="B106" s="16">
        <v>42614</v>
      </c>
      <c r="C106" s="43">
        <v>0.12092540529192376</v>
      </c>
      <c r="D106" s="43">
        <v>0.45603105155248341</v>
      </c>
      <c r="E106" s="44">
        <v>0.42903039080929589</v>
      </c>
      <c r="F106" s="44">
        <v>0.4403381201111618</v>
      </c>
      <c r="G106">
        <v>0.44090018510956719</v>
      </c>
      <c r="H106">
        <v>1.709252709749284E-2</v>
      </c>
    </row>
    <row r="107" spans="2:8" x14ac:dyDescent="0.2">
      <c r="B107" s="16">
        <v>42705</v>
      </c>
      <c r="C107" s="43">
        <v>0.12564479978590307</v>
      </c>
      <c r="D107" s="43">
        <v>0.50587956307536219</v>
      </c>
      <c r="E107" s="44">
        <v>0.46924255233497675</v>
      </c>
      <c r="F107" s="44">
        <v>0.48033842525236303</v>
      </c>
      <c r="G107">
        <v>0.48244416972465842</v>
      </c>
      <c r="H107">
        <v>2.093382211074667E-2</v>
      </c>
    </row>
    <row r="108" spans="2:8" x14ac:dyDescent="0.2">
      <c r="B108" s="16">
        <v>42795</v>
      </c>
      <c r="C108" s="43"/>
      <c r="D108" s="43">
        <v>0.53635817307692313</v>
      </c>
      <c r="E108" s="44">
        <v>0.50277777777777777</v>
      </c>
      <c r="F108" s="44">
        <v>0.4821428571428571</v>
      </c>
      <c r="G108">
        <v>0.46248715313463529</v>
      </c>
    </row>
    <row r="109" spans="2:8" x14ac:dyDescent="0.2">
      <c r="B109" s="16">
        <v>42887</v>
      </c>
      <c r="C109" s="43"/>
      <c r="D109" s="43"/>
      <c r="E109" s="44"/>
      <c r="F109" s="4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8"/>
  <sheetViews>
    <sheetView workbookViewId="0">
      <selection activeCell="B2" sqref="B2:D108"/>
    </sheetView>
  </sheetViews>
  <sheetFormatPr baseColWidth="10" defaultRowHeight="15" x14ac:dyDescent="0.2"/>
  <sheetData>
    <row r="2" spans="2:4" x14ac:dyDescent="0.2">
      <c r="B2" s="3" t="s">
        <v>96</v>
      </c>
      <c r="C2" s="81" t="s">
        <v>4</v>
      </c>
      <c r="D2" s="47" t="s">
        <v>97</v>
      </c>
    </row>
    <row r="3" spans="2:4" x14ac:dyDescent="0.2">
      <c r="B3" s="16">
        <v>33298</v>
      </c>
      <c r="C3" s="43"/>
    </row>
    <row r="4" spans="2:4" x14ac:dyDescent="0.2">
      <c r="B4" s="16">
        <v>33390</v>
      </c>
      <c r="C4" s="43">
        <v>7.1712065013216975E-2</v>
      </c>
      <c r="D4" s="44">
        <v>0.10506048681485879</v>
      </c>
    </row>
    <row r="5" spans="2:4" x14ac:dyDescent="0.2">
      <c r="B5" s="16">
        <v>33482</v>
      </c>
      <c r="C5" s="43">
        <v>7.2021027667492687E-2</v>
      </c>
      <c r="D5" s="44">
        <v>0.10553321256545499</v>
      </c>
    </row>
    <row r="6" spans="2:4" x14ac:dyDescent="0.2">
      <c r="B6" s="16">
        <v>33573</v>
      </c>
      <c r="C6" s="43">
        <v>7.2365964423992818E-2</v>
      </c>
      <c r="D6" s="44">
        <v>0.10603727475988155</v>
      </c>
    </row>
    <row r="7" spans="2:4" x14ac:dyDescent="0.2">
      <c r="B7" s="16">
        <v>33664</v>
      </c>
      <c r="C7" s="43">
        <v>7.2716993230390173E-2</v>
      </c>
      <c r="D7" s="44">
        <v>0.10649089482892785</v>
      </c>
    </row>
    <row r="8" spans="2:4" x14ac:dyDescent="0.2">
      <c r="B8" s="16">
        <v>33756</v>
      </c>
      <c r="C8" s="43">
        <v>7.2998335463343833E-2</v>
      </c>
      <c r="D8" s="44">
        <v>0.10695325969506707</v>
      </c>
    </row>
    <row r="9" spans="2:4" x14ac:dyDescent="0.2">
      <c r="B9" s="16">
        <v>33848</v>
      </c>
      <c r="C9" s="43">
        <v>7.3365825327062692E-2</v>
      </c>
      <c r="D9" s="44">
        <v>0.10745890391015638</v>
      </c>
    </row>
    <row r="10" spans="2:4" x14ac:dyDescent="0.2">
      <c r="B10" s="16">
        <v>33939</v>
      </c>
      <c r="C10" s="43">
        <v>7.3735116755845265E-2</v>
      </c>
      <c r="D10" s="44">
        <v>0.10799814985435305</v>
      </c>
    </row>
    <row r="11" spans="2:4" x14ac:dyDescent="0.2">
      <c r="B11" s="16">
        <v>34029</v>
      </c>
      <c r="C11" s="43">
        <v>7.4072861202508736E-2</v>
      </c>
      <c r="D11" s="44">
        <v>0.10854639469839879</v>
      </c>
    </row>
    <row r="12" spans="2:4" x14ac:dyDescent="0.2">
      <c r="B12" s="16">
        <v>34121</v>
      </c>
      <c r="C12" s="43">
        <v>7.4377547041165601E-2</v>
      </c>
      <c r="D12" s="44">
        <v>0.10908782815912918</v>
      </c>
    </row>
    <row r="13" spans="2:4" x14ac:dyDescent="0.2">
      <c r="B13" s="16">
        <v>34213</v>
      </c>
      <c r="C13" s="43">
        <v>7.4767343412292658E-2</v>
      </c>
      <c r="D13" s="44">
        <v>0.10962821577382081</v>
      </c>
    </row>
    <row r="14" spans="2:4" x14ac:dyDescent="0.2">
      <c r="B14" s="16">
        <v>34304</v>
      </c>
      <c r="C14" s="43">
        <v>7.5153493644059891E-2</v>
      </c>
      <c r="D14" s="44">
        <v>0.11020156274143454</v>
      </c>
    </row>
    <row r="15" spans="2:4" x14ac:dyDescent="0.2">
      <c r="B15" s="16">
        <v>34394</v>
      </c>
      <c r="C15" s="43">
        <v>7.5475939779278953E-2</v>
      </c>
      <c r="D15" s="44">
        <v>0.11078400034696619</v>
      </c>
    </row>
    <row r="16" spans="2:4" x14ac:dyDescent="0.2">
      <c r="B16" s="16">
        <v>34486</v>
      </c>
      <c r="C16" s="43">
        <v>7.5879438898817098E-2</v>
      </c>
      <c r="D16" s="44">
        <v>0.11135304934200516</v>
      </c>
    </row>
    <row r="17" spans="2:4" x14ac:dyDescent="0.2">
      <c r="B17" s="16">
        <v>34578</v>
      </c>
      <c r="C17" s="43">
        <v>7.6292582458479849E-2</v>
      </c>
      <c r="D17" s="44">
        <v>0.11195449024328155</v>
      </c>
    </row>
    <row r="18" spans="2:4" x14ac:dyDescent="0.2">
      <c r="B18" s="16">
        <v>34669</v>
      </c>
      <c r="C18" s="43">
        <v>7.6499414669205637E-2</v>
      </c>
      <c r="D18" s="44">
        <v>0.11244190108150211</v>
      </c>
    </row>
    <row r="19" spans="2:4" x14ac:dyDescent="0.2">
      <c r="B19" s="16">
        <v>34759</v>
      </c>
      <c r="C19" s="43">
        <v>7.6774372103615707E-2</v>
      </c>
      <c r="D19" s="44">
        <v>0.1130637325032712</v>
      </c>
    </row>
    <row r="20" spans="2:4" x14ac:dyDescent="0.2">
      <c r="B20" s="16">
        <v>34851</v>
      </c>
      <c r="C20" s="43">
        <v>7.6891466562129293E-2</v>
      </c>
      <c r="D20" s="44">
        <v>0.1136728455472133</v>
      </c>
    </row>
    <row r="21" spans="2:4" x14ac:dyDescent="0.2">
      <c r="B21" s="16">
        <v>34943</v>
      </c>
      <c r="C21" s="43">
        <v>7.7186804297491501E-2</v>
      </c>
      <c r="D21" s="44">
        <v>0.11431181545520258</v>
      </c>
    </row>
    <row r="22" spans="2:4" x14ac:dyDescent="0.2">
      <c r="B22" s="16">
        <v>35034</v>
      </c>
      <c r="C22" s="43">
        <v>7.7629466493568264E-2</v>
      </c>
      <c r="D22" s="44">
        <v>0.11496022611756032</v>
      </c>
    </row>
    <row r="23" spans="2:4" x14ac:dyDescent="0.2">
      <c r="B23" s="16">
        <v>35125</v>
      </c>
      <c r="C23" s="43">
        <v>7.7752972684011948E-2</v>
      </c>
      <c r="D23" s="44">
        <v>0.11561486855383321</v>
      </c>
    </row>
    <row r="24" spans="2:4" x14ac:dyDescent="0.2">
      <c r="B24" s="16">
        <v>35217</v>
      </c>
      <c r="C24" s="43">
        <v>7.8202570307347494E-2</v>
      </c>
      <c r="D24" s="44">
        <v>0.11629106416369497</v>
      </c>
    </row>
    <row r="25" spans="2:4" x14ac:dyDescent="0.2">
      <c r="B25" s="16">
        <v>35309</v>
      </c>
      <c r="C25" s="43">
        <v>7.8541545944515248E-2</v>
      </c>
      <c r="D25" s="44">
        <v>0.11691471632701871</v>
      </c>
    </row>
    <row r="26" spans="2:4" x14ac:dyDescent="0.2">
      <c r="B26" s="16">
        <v>35400</v>
      </c>
      <c r="C26" s="43">
        <v>7.8988940994691031E-2</v>
      </c>
      <c r="D26" s="44">
        <v>0.11761592833050896</v>
      </c>
    </row>
    <row r="27" spans="2:4" x14ac:dyDescent="0.2">
      <c r="B27" s="16">
        <v>35490</v>
      </c>
      <c r="C27" s="43">
        <v>7.9474514235551685E-2</v>
      </c>
      <c r="D27" s="44">
        <v>0.11811501231946703</v>
      </c>
    </row>
    <row r="28" spans="2:4" x14ac:dyDescent="0.2">
      <c r="B28" s="16">
        <v>35582</v>
      </c>
      <c r="C28" s="43">
        <v>7.996927545538686E-2</v>
      </c>
      <c r="D28" s="44">
        <v>0.11884187794977567</v>
      </c>
    </row>
    <row r="29" spans="2:4" x14ac:dyDescent="0.2">
      <c r="B29" s="16">
        <v>35674</v>
      </c>
      <c r="C29" s="43">
        <v>8.0413302271505963E-2</v>
      </c>
      <c r="D29" s="44">
        <v>0.11955433910769048</v>
      </c>
    </row>
    <row r="30" spans="2:4" x14ac:dyDescent="0.2">
      <c r="B30" s="16">
        <v>35765</v>
      </c>
      <c r="C30" s="43">
        <v>8.052135333587418E-2</v>
      </c>
      <c r="D30" s="44">
        <v>0.12026963654845085</v>
      </c>
    </row>
    <row r="31" spans="2:4" x14ac:dyDescent="0.2">
      <c r="B31" s="16">
        <v>35855</v>
      </c>
      <c r="C31" s="43">
        <v>8.1023361248242692E-2</v>
      </c>
      <c r="D31" s="44">
        <v>0.12098721433159604</v>
      </c>
    </row>
    <row r="32" spans="2:4" x14ac:dyDescent="0.2">
      <c r="B32" s="16">
        <v>35947</v>
      </c>
      <c r="C32" s="43">
        <v>8.1544605224132011E-2</v>
      </c>
      <c r="D32" s="44">
        <v>0.12175543348572723</v>
      </c>
    </row>
    <row r="33" spans="2:4" x14ac:dyDescent="0.2">
      <c r="B33" s="16">
        <v>36039</v>
      </c>
      <c r="C33" s="43">
        <v>8.2075936970248065E-2</v>
      </c>
      <c r="D33" s="44">
        <v>0.12251722458344558</v>
      </c>
    </row>
    <row r="34" spans="2:4" x14ac:dyDescent="0.2">
      <c r="B34" s="16">
        <v>36130</v>
      </c>
      <c r="C34" s="43">
        <v>8.2573091223602527E-2</v>
      </c>
      <c r="D34" s="44">
        <v>0.12333052807064633</v>
      </c>
    </row>
    <row r="35" spans="2:4" x14ac:dyDescent="0.2">
      <c r="B35" s="16">
        <v>36220</v>
      </c>
      <c r="C35" s="43">
        <v>8.3135008860812279E-2</v>
      </c>
      <c r="D35" s="44">
        <v>0.12408196753847271</v>
      </c>
    </row>
    <row r="36" spans="2:4" x14ac:dyDescent="0.2">
      <c r="B36" s="16">
        <v>36312</v>
      </c>
      <c r="C36" s="43">
        <v>8.3108064917043326E-2</v>
      </c>
      <c r="D36" s="44">
        <v>0.12492834946320984</v>
      </c>
    </row>
    <row r="37" spans="2:4" x14ac:dyDescent="0.2">
      <c r="B37" s="16">
        <v>36404</v>
      </c>
      <c r="C37" s="43">
        <v>8.368938273417223E-2</v>
      </c>
      <c r="D37" s="44">
        <v>0.12561310475995696</v>
      </c>
    </row>
    <row r="38" spans="2:4" x14ac:dyDescent="0.2">
      <c r="B38" s="16">
        <v>36495</v>
      </c>
      <c r="C38" s="43">
        <v>8.4247026299049968E-2</v>
      </c>
      <c r="D38" s="44">
        <v>0.12647958515763502</v>
      </c>
    </row>
    <row r="39" spans="2:4" x14ac:dyDescent="0.2">
      <c r="B39" s="16">
        <v>36586</v>
      </c>
      <c r="C39" s="43">
        <v>8.4850783874536734E-2</v>
      </c>
      <c r="D39" s="44">
        <v>0.12731125505270166</v>
      </c>
    </row>
    <row r="40" spans="2:4" x14ac:dyDescent="0.2">
      <c r="B40" s="16">
        <v>36678</v>
      </c>
      <c r="C40" s="43">
        <v>8.5471828839687861E-2</v>
      </c>
      <c r="D40" s="44">
        <v>0.12822881004223388</v>
      </c>
    </row>
    <row r="41" spans="2:4" x14ac:dyDescent="0.2">
      <c r="B41" s="16">
        <v>36770</v>
      </c>
      <c r="C41" s="43">
        <v>8.5708363440725105E-2</v>
      </c>
      <c r="D41" s="44">
        <v>0.12899056243948928</v>
      </c>
    </row>
    <row r="42" spans="2:4" x14ac:dyDescent="0.2">
      <c r="B42" s="16">
        <v>36861</v>
      </c>
      <c r="C42" s="43">
        <v>8.5758721973011376E-2</v>
      </c>
      <c r="D42" s="44">
        <v>0.12967272341771383</v>
      </c>
    </row>
    <row r="43" spans="2:4" x14ac:dyDescent="0.2">
      <c r="B43" s="16">
        <v>36951</v>
      </c>
      <c r="C43" s="43">
        <v>8.6415232564338085E-2</v>
      </c>
      <c r="D43" s="44">
        <v>0.13041506866889638</v>
      </c>
    </row>
    <row r="44" spans="2:4" x14ac:dyDescent="0.2">
      <c r="B44" s="16">
        <v>37043</v>
      </c>
      <c r="C44" s="43">
        <v>8.7076463824334621E-2</v>
      </c>
      <c r="D44" s="44">
        <v>0.13139225104425495</v>
      </c>
    </row>
    <row r="45" spans="2:4" x14ac:dyDescent="0.2">
      <c r="B45" s="16">
        <v>37135</v>
      </c>
      <c r="C45" s="43">
        <v>8.7530648925608454E-2</v>
      </c>
      <c r="D45" s="44">
        <v>0.1322267706308467</v>
      </c>
    </row>
    <row r="46" spans="2:4" x14ac:dyDescent="0.2">
      <c r="B46" s="16">
        <v>37226</v>
      </c>
      <c r="C46" s="43">
        <v>8.8220126440074861E-2</v>
      </c>
      <c r="D46" s="44">
        <v>0.13318473391766866</v>
      </c>
    </row>
    <row r="47" spans="2:4" x14ac:dyDescent="0.2">
      <c r="B47" s="16">
        <v>37316</v>
      </c>
      <c r="C47" s="43">
        <v>8.8903878394597721E-2</v>
      </c>
      <c r="D47" s="44">
        <v>0.13419544850414641</v>
      </c>
    </row>
    <row r="48" spans="2:4" x14ac:dyDescent="0.2">
      <c r="B48" s="16">
        <v>37408</v>
      </c>
      <c r="C48" s="43">
        <v>8.940257118064944E-2</v>
      </c>
      <c r="D48" s="44">
        <v>0.13520833769568055</v>
      </c>
    </row>
    <row r="49" spans="2:4" x14ac:dyDescent="0.2">
      <c r="B49" s="16">
        <v>37500</v>
      </c>
      <c r="C49" s="43">
        <v>8.9089876527113213E-2</v>
      </c>
      <c r="D49" s="44">
        <v>0.13611494908893179</v>
      </c>
    </row>
    <row r="50" spans="2:4" x14ac:dyDescent="0.2">
      <c r="B50" s="16">
        <v>37591</v>
      </c>
      <c r="C50" s="43">
        <v>8.9761786626573997E-2</v>
      </c>
      <c r="D50" s="44">
        <v>0.13714618672586529</v>
      </c>
    </row>
    <row r="51" spans="2:4" x14ac:dyDescent="0.2">
      <c r="B51" s="16">
        <v>37681</v>
      </c>
      <c r="C51" s="43">
        <v>9.0322564549279394E-2</v>
      </c>
      <c r="D51" s="44">
        <v>0.13820945319219896</v>
      </c>
    </row>
    <row r="52" spans="2:4" x14ac:dyDescent="0.2">
      <c r="B52" s="16">
        <v>37773</v>
      </c>
      <c r="C52" s="43">
        <v>9.0650961073600711E-2</v>
      </c>
      <c r="D52" s="44">
        <v>0.13941650056871766</v>
      </c>
    </row>
    <row r="53" spans="2:4" x14ac:dyDescent="0.2">
      <c r="B53" s="16">
        <v>37865</v>
      </c>
      <c r="C53" s="43">
        <v>9.1095024607920488E-2</v>
      </c>
      <c r="D53" s="44">
        <v>0.14051383005526105</v>
      </c>
    </row>
    <row r="54" spans="2:4" x14ac:dyDescent="0.2">
      <c r="B54" s="16">
        <v>37956</v>
      </c>
      <c r="C54" s="43">
        <v>9.1442897728724298E-2</v>
      </c>
      <c r="D54" s="44">
        <v>0.14174704438917962</v>
      </c>
    </row>
    <row r="55" spans="2:4" x14ac:dyDescent="0.2">
      <c r="B55" s="16">
        <v>38047</v>
      </c>
      <c r="C55" s="43">
        <v>9.2295776817478262E-2</v>
      </c>
      <c r="D55" s="44">
        <v>0.14287024510200116</v>
      </c>
    </row>
    <row r="56" spans="2:4" x14ac:dyDescent="0.2">
      <c r="B56" s="16">
        <v>38139</v>
      </c>
      <c r="C56" s="43">
        <v>9.3044870490824536E-2</v>
      </c>
      <c r="D56" s="44">
        <v>0.1442027205549111</v>
      </c>
    </row>
    <row r="57" spans="2:4" x14ac:dyDescent="0.2">
      <c r="B57" s="16">
        <v>38231</v>
      </c>
      <c r="C57" s="43">
        <v>8.9753083337032913E-2</v>
      </c>
      <c r="D57" s="44">
        <v>0.14557264610147197</v>
      </c>
    </row>
    <row r="58" spans="2:4" x14ac:dyDescent="0.2">
      <c r="B58" s="16">
        <v>38322</v>
      </c>
      <c r="C58" s="43">
        <v>8.9987941653771761E-2</v>
      </c>
      <c r="D58" s="44">
        <v>0.14695146842365178</v>
      </c>
    </row>
    <row r="59" spans="2:4" x14ac:dyDescent="0.2">
      <c r="B59" s="16">
        <v>38412</v>
      </c>
      <c r="C59" s="43">
        <v>9.0857857815011545E-2</v>
      </c>
      <c r="D59" s="44">
        <v>0.14831119861701866</v>
      </c>
    </row>
    <row r="60" spans="2:4" x14ac:dyDescent="0.2">
      <c r="B60" s="16">
        <v>38504</v>
      </c>
      <c r="C60" s="43">
        <v>9.1794387965929508E-2</v>
      </c>
      <c r="D60" s="44">
        <v>0.14973121689281338</v>
      </c>
    </row>
    <row r="61" spans="2:4" x14ac:dyDescent="0.2">
      <c r="B61" s="16">
        <v>38596</v>
      </c>
      <c r="C61" s="43">
        <v>9.2675875937289293E-2</v>
      </c>
      <c r="D61" s="44">
        <v>0.15125981308805578</v>
      </c>
    </row>
    <row r="62" spans="2:4" x14ac:dyDescent="0.2">
      <c r="B62" s="16">
        <v>38687</v>
      </c>
      <c r="C62" s="43">
        <v>9.341982319512307E-2</v>
      </c>
      <c r="D62" s="44">
        <v>0.15284200768995596</v>
      </c>
    </row>
    <row r="63" spans="2:4" x14ac:dyDescent="0.2">
      <c r="B63" s="16">
        <v>38777</v>
      </c>
      <c r="C63" s="43">
        <v>9.4206410187469183E-2</v>
      </c>
      <c r="D63" s="44">
        <v>0.15444822353782284</v>
      </c>
    </row>
    <row r="64" spans="2:4" x14ac:dyDescent="0.2">
      <c r="B64" s="16">
        <v>38869</v>
      </c>
      <c r="C64" s="43">
        <v>9.5265738876281258E-2</v>
      </c>
      <c r="D64" s="44">
        <v>0.15611656348506212</v>
      </c>
    </row>
    <row r="65" spans="2:4" x14ac:dyDescent="0.2">
      <c r="B65" s="16">
        <v>38961</v>
      </c>
      <c r="C65" s="43">
        <v>9.6361467180378205E-2</v>
      </c>
      <c r="D65" s="44">
        <v>0.15773378568055874</v>
      </c>
    </row>
    <row r="66" spans="2:4" x14ac:dyDescent="0.2">
      <c r="B66" s="16">
        <v>39052</v>
      </c>
      <c r="C66" s="43">
        <v>9.5843041711076105E-2</v>
      </c>
      <c r="D66" s="44">
        <v>0.15949410510262993</v>
      </c>
    </row>
    <row r="67" spans="2:4" x14ac:dyDescent="0.2">
      <c r="B67" s="16">
        <v>39142</v>
      </c>
      <c r="C67" s="43">
        <v>9.4346407250935529E-2</v>
      </c>
      <c r="D67" s="44">
        <v>0.16111606046026994</v>
      </c>
    </row>
    <row r="68" spans="2:4" x14ac:dyDescent="0.2">
      <c r="B68" s="16">
        <v>39234</v>
      </c>
      <c r="C68" s="43">
        <v>9.2682545991648602E-2</v>
      </c>
      <c r="D68" s="44">
        <v>0.16299939208373718</v>
      </c>
    </row>
    <row r="69" spans="2:4" x14ac:dyDescent="0.2">
      <c r="B69" s="16">
        <v>39326</v>
      </c>
      <c r="C69" s="43">
        <v>9.3689035358575659E-2</v>
      </c>
      <c r="D69" s="44">
        <v>0.16468165917015309</v>
      </c>
    </row>
    <row r="70" spans="2:4" x14ac:dyDescent="0.2">
      <c r="B70" s="16">
        <v>39417</v>
      </c>
      <c r="C70" s="43">
        <v>9.4822458574697441E-2</v>
      </c>
      <c r="D70" s="44">
        <v>0.16677932161713344</v>
      </c>
    </row>
    <row r="71" spans="2:4" x14ac:dyDescent="0.2">
      <c r="B71" s="16">
        <v>39508</v>
      </c>
      <c r="C71" s="43">
        <v>9.5142657339972139E-2</v>
      </c>
      <c r="D71" s="44">
        <v>0.16872518597962005</v>
      </c>
    </row>
    <row r="72" spans="2:4" x14ac:dyDescent="0.2">
      <c r="B72" s="16">
        <v>39600</v>
      </c>
      <c r="C72" s="43">
        <v>9.5703401583113357E-2</v>
      </c>
      <c r="D72" s="44">
        <v>0.17075403869290193</v>
      </c>
    </row>
    <row r="73" spans="2:4" x14ac:dyDescent="0.2">
      <c r="B73" s="16">
        <v>39692</v>
      </c>
      <c r="C73" s="43">
        <v>9.5649769087577621E-2</v>
      </c>
      <c r="D73" s="44">
        <v>0.17310246818641919</v>
      </c>
    </row>
    <row r="74" spans="2:4" x14ac:dyDescent="0.2">
      <c r="B74" s="16">
        <v>39783</v>
      </c>
      <c r="C74" s="43">
        <v>9.6523726248464392E-2</v>
      </c>
      <c r="D74" s="44">
        <v>0.17550531333955158</v>
      </c>
    </row>
    <row r="75" spans="2:4" x14ac:dyDescent="0.2">
      <c r="B75" s="16">
        <v>39873</v>
      </c>
      <c r="C75" s="43">
        <v>9.6816351662805722E-2</v>
      </c>
      <c r="D75" s="44">
        <v>0.17805845274826937</v>
      </c>
    </row>
    <row r="76" spans="2:4" x14ac:dyDescent="0.2">
      <c r="B76" s="16">
        <v>39965</v>
      </c>
      <c r="C76" s="43">
        <v>9.829913077705528E-2</v>
      </c>
      <c r="D76" s="44">
        <v>0.18073602288077051</v>
      </c>
    </row>
    <row r="77" spans="2:4" x14ac:dyDescent="0.2">
      <c r="B77" s="16">
        <v>40057</v>
      </c>
      <c r="C77" s="43">
        <v>9.9756579171924584E-2</v>
      </c>
      <c r="D77" s="44">
        <v>0.18305006998218157</v>
      </c>
    </row>
    <row r="78" spans="2:4" x14ac:dyDescent="0.2">
      <c r="B78" s="16">
        <v>40148</v>
      </c>
      <c r="C78" s="43">
        <v>0.10138640297425329</v>
      </c>
      <c r="D78" s="44">
        <v>0.1857964024899299</v>
      </c>
    </row>
    <row r="79" spans="2:4" x14ac:dyDescent="0.2">
      <c r="B79" s="16">
        <v>40238</v>
      </c>
      <c r="C79" s="43">
        <v>0.10117174298751382</v>
      </c>
      <c r="D79" s="44">
        <v>0.18747746901238035</v>
      </c>
    </row>
    <row r="80" spans="2:4" x14ac:dyDescent="0.2">
      <c r="B80" s="16">
        <v>40330</v>
      </c>
      <c r="C80" s="43">
        <v>0.10274651227860007</v>
      </c>
      <c r="D80" s="44">
        <v>0.19065777060598013</v>
      </c>
    </row>
    <row r="81" spans="2:4" x14ac:dyDescent="0.2">
      <c r="B81" s="16">
        <v>40422</v>
      </c>
      <c r="C81" s="43">
        <v>0.10074081025669843</v>
      </c>
      <c r="D81" s="44">
        <v>0.1936562092203532</v>
      </c>
    </row>
    <row r="82" spans="2:4" x14ac:dyDescent="0.2">
      <c r="B82" s="16">
        <v>40513</v>
      </c>
      <c r="C82" s="43">
        <v>9.9430822052890958E-2</v>
      </c>
      <c r="D82" s="44">
        <v>0.1972084630052772</v>
      </c>
    </row>
    <row r="83" spans="2:4" x14ac:dyDescent="0.2">
      <c r="B83" s="16">
        <v>40603</v>
      </c>
      <c r="C83" s="43">
        <v>9.9716490963020585E-2</v>
      </c>
      <c r="D83" s="44">
        <v>0.20063038166809133</v>
      </c>
    </row>
    <row r="84" spans="2:4" x14ac:dyDescent="0.2">
      <c r="B84" s="16">
        <v>40695</v>
      </c>
      <c r="C84" s="43">
        <v>9.9603782155514409E-2</v>
      </c>
      <c r="D84" s="44">
        <v>0.20346843373700244</v>
      </c>
    </row>
    <row r="85" spans="2:4" x14ac:dyDescent="0.2">
      <c r="B85" s="16">
        <v>40787</v>
      </c>
      <c r="C85" s="43">
        <v>9.9515486453794738E-2</v>
      </c>
      <c r="D85" s="44">
        <v>0.20746780212769922</v>
      </c>
    </row>
    <row r="86" spans="2:4" x14ac:dyDescent="0.2">
      <c r="B86" s="16">
        <v>40878</v>
      </c>
      <c r="C86" s="43">
        <v>9.8135196763761631E-2</v>
      </c>
      <c r="D86" s="44">
        <v>0.21182222248872648</v>
      </c>
    </row>
    <row r="87" spans="2:4" x14ac:dyDescent="0.2">
      <c r="B87" s="16">
        <v>40969</v>
      </c>
      <c r="C87" s="43">
        <v>9.6584398895261839E-2</v>
      </c>
      <c r="D87" s="44">
        <v>0.21655882064914606</v>
      </c>
    </row>
    <row r="88" spans="2:4" x14ac:dyDescent="0.2">
      <c r="B88" s="16">
        <v>41061</v>
      </c>
      <c r="C88" s="43">
        <v>9.8733318830088707E-2</v>
      </c>
      <c r="D88" s="44">
        <v>0.21998548892793687</v>
      </c>
    </row>
    <row r="89" spans="2:4" x14ac:dyDescent="0.2">
      <c r="B89" s="16">
        <v>41153</v>
      </c>
      <c r="C89" s="43">
        <v>0.10121289211643152</v>
      </c>
      <c r="D89" s="44">
        <v>0.225260068871317</v>
      </c>
    </row>
    <row r="90" spans="2:4" x14ac:dyDescent="0.2">
      <c r="B90" s="16">
        <v>41244</v>
      </c>
      <c r="C90" s="43">
        <v>0.10352786513623538</v>
      </c>
      <c r="D90" s="44">
        <v>0.23110558545943019</v>
      </c>
    </row>
    <row r="91" spans="2:4" x14ac:dyDescent="0.2">
      <c r="B91" s="16">
        <v>41334</v>
      </c>
      <c r="C91" s="43">
        <v>0.10275483719572608</v>
      </c>
      <c r="D91" s="44">
        <v>0.23630495680254091</v>
      </c>
    </row>
    <row r="92" spans="2:4" x14ac:dyDescent="0.2">
      <c r="B92" s="16">
        <v>41426</v>
      </c>
      <c r="C92" s="43">
        <v>0.10125758872155188</v>
      </c>
      <c r="D92" s="44">
        <v>0.24312099476766189</v>
      </c>
    </row>
    <row r="93" spans="2:4" x14ac:dyDescent="0.2">
      <c r="B93" s="16">
        <v>41518</v>
      </c>
      <c r="C93" s="43">
        <v>0.10348034780701465</v>
      </c>
      <c r="D93" s="44">
        <v>0.24973765193852823</v>
      </c>
    </row>
    <row r="94" spans="2:4" x14ac:dyDescent="0.2">
      <c r="B94" s="16">
        <v>41609</v>
      </c>
      <c r="C94" s="43">
        <v>0.10433537684778621</v>
      </c>
      <c r="D94" s="44">
        <v>0.25731862075357775</v>
      </c>
    </row>
    <row r="95" spans="2:4" x14ac:dyDescent="0.2">
      <c r="B95" s="16">
        <v>41699</v>
      </c>
      <c r="C95" s="43">
        <v>0.10800662973295413</v>
      </c>
      <c r="D95" s="44">
        <v>0.26580194586645833</v>
      </c>
    </row>
    <row r="96" spans="2:4" x14ac:dyDescent="0.2">
      <c r="B96" s="16">
        <v>41791</v>
      </c>
      <c r="C96" s="43">
        <v>0.11158630738945924</v>
      </c>
      <c r="D96" s="44">
        <v>0.27350966394322179</v>
      </c>
    </row>
    <row r="97" spans="2:4" x14ac:dyDescent="0.2">
      <c r="B97" s="16">
        <v>41883</v>
      </c>
      <c r="C97" s="43">
        <v>0.11654133500728033</v>
      </c>
      <c r="D97" s="44">
        <v>0.28397576283197856</v>
      </c>
    </row>
    <row r="98" spans="2:4" x14ac:dyDescent="0.2">
      <c r="B98" s="16">
        <v>41974</v>
      </c>
      <c r="C98" s="43">
        <v>0.12220365018720523</v>
      </c>
      <c r="D98" s="44">
        <v>0.29508835546179241</v>
      </c>
    </row>
    <row r="99" spans="2:4" x14ac:dyDescent="0.2">
      <c r="B99" s="16">
        <v>42064</v>
      </c>
      <c r="C99" s="43">
        <v>0.1210156746766325</v>
      </c>
      <c r="D99" s="44">
        <v>0.30701907040466336</v>
      </c>
    </row>
    <row r="100" spans="2:4" x14ac:dyDescent="0.2">
      <c r="B100" s="16">
        <v>42156</v>
      </c>
      <c r="C100" s="43">
        <v>0.11925673766771816</v>
      </c>
      <c r="D100" s="44">
        <v>0.32225504039270342</v>
      </c>
    </row>
    <row r="101" spans="2:4" x14ac:dyDescent="0.2">
      <c r="B101" s="16">
        <v>42248</v>
      </c>
      <c r="C101" s="43">
        <v>0.1134390425572368</v>
      </c>
      <c r="D101" s="44">
        <v>0.33611820902622175</v>
      </c>
    </row>
    <row r="102" spans="2:4" x14ac:dyDescent="0.2">
      <c r="B102" s="16">
        <v>42339</v>
      </c>
      <c r="C102" s="43">
        <v>0.12189886076873589</v>
      </c>
      <c r="D102" s="44">
        <v>0.35474907154456958</v>
      </c>
    </row>
    <row r="103" spans="2:4" x14ac:dyDescent="0.2">
      <c r="B103" s="16">
        <v>42430</v>
      </c>
      <c r="C103" s="43">
        <v>0.133019580249851</v>
      </c>
      <c r="D103" s="44">
        <v>0.37653877883765202</v>
      </c>
    </row>
    <row r="104" spans="2:4" x14ac:dyDescent="0.2">
      <c r="B104" s="16">
        <v>42522</v>
      </c>
      <c r="C104" s="43">
        <v>0.14856576837307828</v>
      </c>
      <c r="D104" s="44">
        <v>0.40798854517633537</v>
      </c>
    </row>
    <row r="105" spans="2:4" x14ac:dyDescent="0.2">
      <c r="B105" s="16">
        <v>42614</v>
      </c>
      <c r="C105" s="43">
        <v>0.12092540529192376</v>
      </c>
      <c r="D105" s="44">
        <v>0.4403381201111618</v>
      </c>
    </row>
    <row r="106" spans="2:4" x14ac:dyDescent="0.2">
      <c r="B106" s="16">
        <v>42705</v>
      </c>
      <c r="C106" s="43">
        <v>0.12564479978590307</v>
      </c>
      <c r="D106" s="44">
        <v>0.48033842525236303</v>
      </c>
    </row>
    <row r="107" spans="2:4" x14ac:dyDescent="0.2">
      <c r="B107" s="16">
        <v>42795</v>
      </c>
      <c r="C107" s="43"/>
      <c r="D107" s="44">
        <v>0.4821428571428571</v>
      </c>
    </row>
    <row r="108" spans="2:4" x14ac:dyDescent="0.2">
      <c r="B108" s="16">
        <v>42887</v>
      </c>
      <c r="C108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60"/>
  <sheetViews>
    <sheetView topLeftCell="A88" zoomScale="112" zoomScaleNormal="100" workbookViewId="0">
      <selection activeCell="C110" sqref="C110"/>
    </sheetView>
  </sheetViews>
  <sheetFormatPr baseColWidth="10" defaultRowHeight="15" x14ac:dyDescent="0.2"/>
  <cols>
    <col min="3" max="3" width="24" bestFit="1" customWidth="1"/>
  </cols>
  <sheetData>
    <row r="3" spans="2:11" x14ac:dyDescent="0.2">
      <c r="B3" s="2"/>
      <c r="C3" s="4">
        <v>6700</v>
      </c>
    </row>
    <row r="4" spans="2:11" x14ac:dyDescent="0.2">
      <c r="B4" s="2"/>
      <c r="C4" s="4">
        <v>24</v>
      </c>
    </row>
    <row r="5" spans="2:11" x14ac:dyDescent="0.2">
      <c r="B5" s="3" t="s">
        <v>128</v>
      </c>
      <c r="C5" s="39" t="s">
        <v>82</v>
      </c>
      <c r="D5" s="41" t="s">
        <v>167</v>
      </c>
      <c r="E5" s="41" t="s">
        <v>172</v>
      </c>
      <c r="H5" s="3" t="s">
        <v>96</v>
      </c>
      <c r="I5" s="41" t="s">
        <v>172</v>
      </c>
      <c r="K5" s="2"/>
    </row>
    <row r="6" spans="2:11" x14ac:dyDescent="0.2">
      <c r="B6" s="8" t="s">
        <v>129</v>
      </c>
      <c r="C6" s="9">
        <v>176</v>
      </c>
      <c r="D6" s="37">
        <v>57.1</v>
      </c>
      <c r="E6" s="38">
        <f t="shared" ref="E6:E68" si="0">C6*($D$111/D6)</f>
        <v>371.72679509632223</v>
      </c>
      <c r="F6" s="37"/>
      <c r="G6" s="35"/>
      <c r="H6" s="16">
        <v>33298</v>
      </c>
      <c r="I6" s="45">
        <v>371.72679509632223</v>
      </c>
      <c r="K6" s="2"/>
    </row>
    <row r="7" spans="2:11" x14ac:dyDescent="0.2">
      <c r="B7" s="8" t="s">
        <v>130</v>
      </c>
      <c r="C7" s="9">
        <v>175</v>
      </c>
      <c r="D7" s="37">
        <v>57.2</v>
      </c>
      <c r="E7" s="38">
        <f t="shared" si="0"/>
        <v>368.96853146853147</v>
      </c>
      <c r="F7" s="37"/>
      <c r="G7" s="35"/>
      <c r="H7" s="16">
        <v>33390</v>
      </c>
      <c r="I7" s="45">
        <v>368.96853146853147</v>
      </c>
      <c r="K7" s="3"/>
    </row>
    <row r="8" spans="2:11" x14ac:dyDescent="0.2">
      <c r="B8" s="8" t="s">
        <v>131</v>
      </c>
      <c r="C8" s="9">
        <v>180</v>
      </c>
      <c r="D8" s="37">
        <v>56.1</v>
      </c>
      <c r="E8" s="38">
        <f t="shared" si="0"/>
        <v>386.95187165775394</v>
      </c>
      <c r="F8" s="37"/>
      <c r="G8" s="35"/>
      <c r="H8" s="16">
        <v>33482</v>
      </c>
      <c r="I8" s="45">
        <v>386.95187165775394</v>
      </c>
      <c r="K8" s="8"/>
    </row>
    <row r="9" spans="2:11" x14ac:dyDescent="0.2">
      <c r="B9" s="8" t="s">
        <v>132</v>
      </c>
      <c r="C9" s="9">
        <v>185</v>
      </c>
      <c r="D9" s="37">
        <v>55.9</v>
      </c>
      <c r="E9" s="38">
        <f t="shared" si="0"/>
        <v>399.12343470483006</v>
      </c>
      <c r="F9" s="37"/>
      <c r="G9" s="35"/>
      <c r="H9" s="16">
        <v>33573</v>
      </c>
      <c r="I9" s="45">
        <v>399.12343470483006</v>
      </c>
      <c r="K9" s="8"/>
    </row>
    <row r="10" spans="2:11" x14ac:dyDescent="0.2">
      <c r="B10" s="8" t="s">
        <v>133</v>
      </c>
      <c r="C10" s="9">
        <v>182</v>
      </c>
      <c r="D10" s="37">
        <v>54.8</v>
      </c>
      <c r="E10" s="38">
        <f t="shared" si="0"/>
        <v>400.53284671532845</v>
      </c>
      <c r="F10" s="37"/>
      <c r="G10" s="35"/>
      <c r="H10" s="16">
        <v>33664</v>
      </c>
      <c r="I10" s="45">
        <v>400.53284671532845</v>
      </c>
      <c r="K10" s="8"/>
    </row>
    <row r="11" spans="2:11" x14ac:dyDescent="0.2">
      <c r="B11" s="8" t="s">
        <v>134</v>
      </c>
      <c r="C11" s="9">
        <v>185</v>
      </c>
      <c r="D11" s="37">
        <v>54</v>
      </c>
      <c r="E11" s="38">
        <f t="shared" si="0"/>
        <v>413.16666666666669</v>
      </c>
      <c r="F11" s="37"/>
      <c r="G11" s="35"/>
      <c r="H11" s="16">
        <v>33756</v>
      </c>
      <c r="I11" s="45">
        <v>413.16666666666669</v>
      </c>
      <c r="K11" s="8"/>
    </row>
    <row r="12" spans="2:11" x14ac:dyDescent="0.2">
      <c r="B12" s="8" t="s">
        <v>135</v>
      </c>
      <c r="C12" s="9">
        <v>187</v>
      </c>
      <c r="D12" s="37">
        <v>53.3</v>
      </c>
      <c r="E12" s="38">
        <f t="shared" si="0"/>
        <v>423.11819887429641</v>
      </c>
      <c r="F12" s="37"/>
      <c r="G12" s="35"/>
      <c r="H12" s="16">
        <v>33848</v>
      </c>
      <c r="I12" s="45">
        <v>423.11819887429641</v>
      </c>
      <c r="K12" s="8"/>
    </row>
    <row r="13" spans="2:11" x14ac:dyDescent="0.2">
      <c r="B13" s="8" t="s">
        <v>136</v>
      </c>
      <c r="C13" s="9">
        <v>195</v>
      </c>
      <c r="D13" s="37">
        <v>53</v>
      </c>
      <c r="E13" s="38">
        <f t="shared" si="0"/>
        <v>443.71698113207543</v>
      </c>
      <c r="F13" s="37"/>
      <c r="G13" s="35"/>
      <c r="H13" s="16">
        <v>33939</v>
      </c>
      <c r="I13" s="45">
        <v>443.71698113207543</v>
      </c>
      <c r="K13" s="8"/>
    </row>
    <row r="14" spans="2:11" x14ac:dyDescent="0.2">
      <c r="B14" s="8" t="s">
        <v>137</v>
      </c>
      <c r="C14" s="9">
        <v>192</v>
      </c>
      <c r="D14" s="37">
        <v>53.3</v>
      </c>
      <c r="E14" s="38">
        <f t="shared" si="0"/>
        <v>434.43151969981238</v>
      </c>
      <c r="F14" s="37"/>
      <c r="G14" s="35"/>
      <c r="H14" s="16">
        <v>34029</v>
      </c>
      <c r="I14" s="45">
        <v>434.43151969981238</v>
      </c>
      <c r="K14" s="8"/>
    </row>
    <row r="15" spans="2:11" x14ac:dyDescent="0.2">
      <c r="B15" s="8" t="s">
        <v>138</v>
      </c>
      <c r="C15" s="9">
        <v>195</v>
      </c>
      <c r="D15" s="37">
        <v>53.7</v>
      </c>
      <c r="E15" s="38">
        <f t="shared" si="0"/>
        <v>437.93296089385473</v>
      </c>
      <c r="F15" s="37"/>
      <c r="G15" s="35"/>
      <c r="H15" s="16">
        <v>34121</v>
      </c>
      <c r="I15" s="45">
        <v>437.93296089385473</v>
      </c>
      <c r="K15" s="8"/>
    </row>
    <row r="16" spans="2:11" x14ac:dyDescent="0.2">
      <c r="B16" s="8" t="s">
        <v>139</v>
      </c>
      <c r="C16" s="9">
        <v>201</v>
      </c>
      <c r="D16" s="37">
        <v>53.7</v>
      </c>
      <c r="E16" s="38">
        <f t="shared" si="0"/>
        <v>451.40782122905028</v>
      </c>
      <c r="F16" s="37"/>
      <c r="G16" s="35"/>
      <c r="H16" s="16">
        <v>34213</v>
      </c>
      <c r="I16" s="45">
        <v>451.40782122905028</v>
      </c>
      <c r="K16" s="8"/>
    </row>
    <row r="17" spans="2:11" x14ac:dyDescent="0.2">
      <c r="B17" s="8" t="s">
        <v>140</v>
      </c>
      <c r="C17" s="9">
        <v>198</v>
      </c>
      <c r="D17" s="37">
        <v>52.8</v>
      </c>
      <c r="E17" s="38">
        <f t="shared" si="0"/>
        <v>452.25</v>
      </c>
      <c r="F17" s="37"/>
      <c r="G17" s="35"/>
      <c r="H17" s="16">
        <v>34304</v>
      </c>
      <c r="I17" s="45">
        <v>452.25</v>
      </c>
      <c r="K17" s="8"/>
    </row>
    <row r="18" spans="2:11" x14ac:dyDescent="0.2">
      <c r="B18" s="8" t="s">
        <v>141</v>
      </c>
      <c r="C18" s="9">
        <v>200</v>
      </c>
      <c r="D18" s="37">
        <v>52.9</v>
      </c>
      <c r="E18" s="38">
        <f t="shared" si="0"/>
        <v>455.95463137996217</v>
      </c>
      <c r="F18" s="37"/>
      <c r="G18" s="35"/>
      <c r="H18" s="16">
        <v>34394</v>
      </c>
      <c r="I18" s="45">
        <v>455.95463137996217</v>
      </c>
      <c r="K18" s="8"/>
    </row>
    <row r="19" spans="2:11" x14ac:dyDescent="0.2">
      <c r="B19" s="8" t="s">
        <v>142</v>
      </c>
      <c r="C19" s="9">
        <v>205</v>
      </c>
      <c r="D19" s="37">
        <v>53.5</v>
      </c>
      <c r="E19" s="38">
        <f t="shared" si="0"/>
        <v>462.11214953271025</v>
      </c>
      <c r="F19" s="37"/>
      <c r="G19" s="35"/>
      <c r="H19" s="16">
        <v>34486</v>
      </c>
      <c r="I19" s="45">
        <v>462.11214953271025</v>
      </c>
      <c r="K19" s="8"/>
    </row>
    <row r="20" spans="2:11" x14ac:dyDescent="0.2">
      <c r="B20" s="8" t="s">
        <v>143</v>
      </c>
      <c r="C20" s="9">
        <v>220</v>
      </c>
      <c r="D20" s="37">
        <v>54</v>
      </c>
      <c r="E20" s="38">
        <f t="shared" si="0"/>
        <v>491.33333333333337</v>
      </c>
      <c r="F20" s="37"/>
      <c r="G20" s="35"/>
      <c r="H20" s="16">
        <v>34578</v>
      </c>
      <c r="I20" s="45">
        <v>491.33333333333337</v>
      </c>
      <c r="K20" s="8"/>
    </row>
    <row r="21" spans="2:11" x14ac:dyDescent="0.2">
      <c r="B21" s="8" t="s">
        <v>144</v>
      </c>
      <c r="C21" s="9">
        <v>214</v>
      </c>
      <c r="D21" s="37">
        <v>55.3</v>
      </c>
      <c r="E21" s="38">
        <f t="shared" si="0"/>
        <v>466.69801084990962</v>
      </c>
      <c r="F21" s="37"/>
      <c r="G21" s="35"/>
      <c r="H21" s="16">
        <v>34669</v>
      </c>
      <c r="I21" s="45">
        <v>466.69801084990962</v>
      </c>
      <c r="K21" s="8"/>
    </row>
    <row r="22" spans="2:11" x14ac:dyDescent="0.2">
      <c r="B22" s="8" t="s">
        <v>145</v>
      </c>
      <c r="C22" s="9">
        <v>232</v>
      </c>
      <c r="D22" s="37">
        <v>58.3</v>
      </c>
      <c r="E22" s="38">
        <f t="shared" si="0"/>
        <v>479.91766723842193</v>
      </c>
      <c r="F22" s="37"/>
      <c r="G22" s="35"/>
      <c r="H22" s="16">
        <v>34759</v>
      </c>
      <c r="I22" s="45">
        <v>479.91766723842193</v>
      </c>
      <c r="K22" s="8"/>
    </row>
    <row r="23" spans="2:11" x14ac:dyDescent="0.2">
      <c r="B23" s="8" t="s">
        <v>146</v>
      </c>
      <c r="C23" s="9">
        <v>226</v>
      </c>
      <c r="D23" s="37">
        <v>59.5</v>
      </c>
      <c r="E23" s="38">
        <f t="shared" si="0"/>
        <v>458.07731092436973</v>
      </c>
      <c r="F23" s="37"/>
      <c r="G23" s="35"/>
      <c r="H23" s="16">
        <v>34851</v>
      </c>
      <c r="I23" s="45">
        <v>458.07731092436973</v>
      </c>
      <c r="K23" s="8"/>
    </row>
    <row r="24" spans="2:11" x14ac:dyDescent="0.2">
      <c r="B24" s="8" t="s">
        <v>147</v>
      </c>
      <c r="C24" s="9">
        <v>232</v>
      </c>
      <c r="D24" s="37">
        <v>60</v>
      </c>
      <c r="E24" s="38">
        <f t="shared" si="0"/>
        <v>466.31999999999994</v>
      </c>
      <c r="F24" s="37"/>
      <c r="G24" s="35"/>
      <c r="H24" s="16">
        <v>34943</v>
      </c>
      <c r="I24" s="45">
        <v>466.31999999999994</v>
      </c>
      <c r="K24" s="8"/>
    </row>
    <row r="25" spans="2:11" x14ac:dyDescent="0.2">
      <c r="B25" s="8" t="s">
        <v>148</v>
      </c>
      <c r="C25" s="9">
        <v>221</v>
      </c>
      <c r="D25" s="37">
        <v>60.5</v>
      </c>
      <c r="E25" s="38">
        <f t="shared" si="0"/>
        <v>440.53884297520659</v>
      </c>
      <c r="F25" s="37"/>
      <c r="G25" s="35"/>
      <c r="H25" s="16">
        <v>35034</v>
      </c>
      <c r="I25" s="45">
        <v>440.53884297520659</v>
      </c>
      <c r="K25" s="8"/>
    </row>
    <row r="26" spans="2:11" x14ac:dyDescent="0.2">
      <c r="B26" s="8" t="s">
        <v>149</v>
      </c>
      <c r="C26" s="9">
        <v>228</v>
      </c>
      <c r="D26" s="37">
        <v>61</v>
      </c>
      <c r="E26" s="38">
        <f t="shared" si="0"/>
        <v>450.76721311475404</v>
      </c>
      <c r="F26" s="37"/>
      <c r="G26" s="35"/>
      <c r="H26" s="16">
        <v>35125</v>
      </c>
      <c r="I26" s="45">
        <v>450.76721311475404</v>
      </c>
      <c r="K26" s="8"/>
    </row>
    <row r="27" spans="2:11" x14ac:dyDescent="0.2">
      <c r="B27" s="8" t="s">
        <v>150</v>
      </c>
      <c r="C27" s="9">
        <v>223</v>
      </c>
      <c r="D27" s="37">
        <v>61.4</v>
      </c>
      <c r="E27" s="38">
        <f t="shared" si="0"/>
        <v>438.00977198697069</v>
      </c>
      <c r="F27" s="37"/>
      <c r="G27" s="35"/>
      <c r="H27" s="16">
        <v>35217</v>
      </c>
      <c r="I27" s="45">
        <v>438.00977198697069</v>
      </c>
      <c r="K27" s="8"/>
    </row>
    <row r="28" spans="2:11" x14ac:dyDescent="0.2">
      <c r="B28" s="8" t="s">
        <v>151</v>
      </c>
      <c r="C28" s="9">
        <v>223</v>
      </c>
      <c r="D28" s="37">
        <v>61.6</v>
      </c>
      <c r="E28" s="38">
        <f t="shared" si="0"/>
        <v>436.58766233766232</v>
      </c>
      <c r="F28" s="37"/>
      <c r="G28" s="35"/>
      <c r="H28" s="16">
        <v>35309</v>
      </c>
      <c r="I28" s="45">
        <v>436.58766233766232</v>
      </c>
      <c r="K28" s="8"/>
    </row>
    <row r="29" spans="2:11" x14ac:dyDescent="0.2">
      <c r="B29" s="8" t="s">
        <v>152</v>
      </c>
      <c r="C29" s="9">
        <v>228</v>
      </c>
      <c r="D29" s="37">
        <v>60.1</v>
      </c>
      <c r="E29" s="38">
        <f t="shared" si="0"/>
        <v>457.51747088186357</v>
      </c>
      <c r="F29" s="37"/>
      <c r="G29" s="35"/>
      <c r="H29" s="16">
        <v>35400</v>
      </c>
      <c r="I29" s="45">
        <v>457.51747088186357</v>
      </c>
      <c r="K29" s="8"/>
    </row>
    <row r="30" spans="2:11" x14ac:dyDescent="0.2">
      <c r="B30" s="8" t="s">
        <v>153</v>
      </c>
      <c r="C30" s="9">
        <v>232</v>
      </c>
      <c r="D30" s="37">
        <v>58.6</v>
      </c>
      <c r="E30" s="38">
        <f t="shared" si="0"/>
        <v>477.46075085324225</v>
      </c>
      <c r="F30" s="37"/>
      <c r="G30" s="35"/>
      <c r="H30" s="16">
        <v>35490</v>
      </c>
      <c r="I30" s="45">
        <v>477.46075085324225</v>
      </c>
      <c r="K30" s="8"/>
    </row>
    <row r="31" spans="2:11" x14ac:dyDescent="0.2">
      <c r="B31" s="8" t="s">
        <v>154</v>
      </c>
      <c r="C31" s="9">
        <v>243</v>
      </c>
      <c r="D31" s="37">
        <v>56.8</v>
      </c>
      <c r="E31" s="38">
        <f t="shared" si="0"/>
        <v>515.94718309859161</v>
      </c>
      <c r="F31" s="37"/>
      <c r="G31" s="35"/>
      <c r="H31" s="16">
        <v>35582</v>
      </c>
      <c r="I31" s="45">
        <v>515.94718309859161</v>
      </c>
      <c r="K31" s="8"/>
    </row>
    <row r="32" spans="2:11" x14ac:dyDescent="0.2">
      <c r="B32" s="8" t="s">
        <v>155</v>
      </c>
      <c r="C32" s="9">
        <v>265</v>
      </c>
      <c r="D32" s="37">
        <v>56.6</v>
      </c>
      <c r="E32" s="38">
        <f t="shared" si="0"/>
        <v>564.64664310954061</v>
      </c>
      <c r="F32" s="37"/>
      <c r="G32" s="35"/>
      <c r="H32" s="16">
        <v>35674</v>
      </c>
      <c r="I32" s="45">
        <v>564.64664310954061</v>
      </c>
      <c r="K32" s="8"/>
    </row>
    <row r="33" spans="2:11" x14ac:dyDescent="0.2">
      <c r="B33" s="8" t="s">
        <v>156</v>
      </c>
      <c r="C33" s="9">
        <v>274</v>
      </c>
      <c r="D33" s="37">
        <v>55.9</v>
      </c>
      <c r="E33" s="38">
        <f t="shared" si="0"/>
        <v>591.13416815742403</v>
      </c>
      <c r="F33" s="37"/>
      <c r="H33" s="16">
        <v>35765</v>
      </c>
      <c r="I33" s="45">
        <v>591.13416815742403</v>
      </c>
      <c r="K33" s="8"/>
    </row>
    <row r="34" spans="2:11" x14ac:dyDescent="0.2">
      <c r="B34" s="8" t="s">
        <v>157</v>
      </c>
      <c r="C34" s="9">
        <v>276</v>
      </c>
      <c r="D34" s="37">
        <v>56</v>
      </c>
      <c r="E34" s="38">
        <f t="shared" si="0"/>
        <v>594.38571428571424</v>
      </c>
      <c r="F34" s="37"/>
      <c r="H34" s="16">
        <v>35855</v>
      </c>
      <c r="I34" s="45">
        <v>594.38571428571424</v>
      </c>
      <c r="K34" s="8"/>
    </row>
    <row r="35" spans="2:11" x14ac:dyDescent="0.2">
      <c r="B35" s="8" t="s">
        <v>158</v>
      </c>
      <c r="C35" s="9">
        <v>278</v>
      </c>
      <c r="D35" s="37">
        <v>56.6</v>
      </c>
      <c r="E35" s="38">
        <f t="shared" si="0"/>
        <v>592.34628975265014</v>
      </c>
      <c r="F35" s="37"/>
      <c r="H35" s="16">
        <v>35947</v>
      </c>
      <c r="I35" s="45">
        <v>592.34628975265014</v>
      </c>
      <c r="K35" s="8"/>
    </row>
    <row r="36" spans="2:11" x14ac:dyDescent="0.2">
      <c r="B36" s="8" t="s">
        <v>159</v>
      </c>
      <c r="C36" s="9">
        <v>276</v>
      </c>
      <c r="D36" s="37">
        <v>57.2</v>
      </c>
      <c r="E36" s="38">
        <f t="shared" si="0"/>
        <v>581.91608391608395</v>
      </c>
      <c r="F36" s="37"/>
      <c r="H36" s="16">
        <v>36039</v>
      </c>
      <c r="I36" s="45">
        <v>581.91608391608395</v>
      </c>
      <c r="K36" s="8"/>
    </row>
    <row r="37" spans="2:11" x14ac:dyDescent="0.2">
      <c r="B37" s="8" t="s">
        <v>160</v>
      </c>
      <c r="C37" s="9">
        <v>280</v>
      </c>
      <c r="D37" s="37">
        <v>57.3</v>
      </c>
      <c r="E37" s="38">
        <f t="shared" si="0"/>
        <v>589.3193717277486</v>
      </c>
      <c r="F37" s="37"/>
      <c r="H37" s="16">
        <v>36130</v>
      </c>
      <c r="I37" s="45">
        <v>589.3193717277486</v>
      </c>
      <c r="K37" s="8"/>
    </row>
    <row r="38" spans="2:11" x14ac:dyDescent="0.2">
      <c r="B38" s="8" t="s">
        <v>161</v>
      </c>
      <c r="C38" s="9">
        <v>309</v>
      </c>
      <c r="D38" s="37">
        <v>58</v>
      </c>
      <c r="E38" s="38">
        <f t="shared" si="0"/>
        <v>642.50689655172414</v>
      </c>
      <c r="F38" s="37"/>
      <c r="H38" s="16">
        <v>36220</v>
      </c>
      <c r="I38" s="45">
        <v>642.50689655172414</v>
      </c>
      <c r="K38" s="8"/>
    </row>
    <row r="39" spans="2:11" x14ac:dyDescent="0.2">
      <c r="B39" s="8" t="s">
        <v>162</v>
      </c>
      <c r="C39" s="9">
        <v>316</v>
      </c>
      <c r="D39" s="37">
        <v>58.2</v>
      </c>
      <c r="E39" s="38">
        <f t="shared" si="0"/>
        <v>654.80412371134014</v>
      </c>
      <c r="F39" s="37"/>
      <c r="H39" s="16">
        <v>36312</v>
      </c>
      <c r="I39" s="45">
        <v>654.80412371134014</v>
      </c>
      <c r="K39" s="8"/>
    </row>
    <row r="40" spans="2:11" x14ac:dyDescent="0.2">
      <c r="B40" s="8" t="s">
        <v>163</v>
      </c>
      <c r="C40" s="9">
        <v>315</v>
      </c>
      <c r="D40" s="37">
        <v>59.1</v>
      </c>
      <c r="E40" s="38">
        <f t="shared" si="0"/>
        <v>642.79187817258878</v>
      </c>
      <c r="F40" s="37"/>
      <c r="H40" s="16">
        <v>36404</v>
      </c>
      <c r="I40" s="45">
        <v>642.79187817258878</v>
      </c>
      <c r="K40" s="8"/>
    </row>
    <row r="41" spans="2:11" x14ac:dyDescent="0.2">
      <c r="B41" s="8" t="s">
        <v>164</v>
      </c>
      <c r="C41" s="9">
        <v>323</v>
      </c>
      <c r="D41" s="37">
        <v>59.9</v>
      </c>
      <c r="E41" s="38">
        <f t="shared" si="0"/>
        <v>650.31385642737894</v>
      </c>
      <c r="F41" s="37"/>
      <c r="H41" s="16">
        <v>36495</v>
      </c>
      <c r="I41" s="45">
        <v>650.31385642737894</v>
      </c>
      <c r="K41" s="8"/>
    </row>
    <row r="42" spans="2:11" x14ac:dyDescent="0.2">
      <c r="B42" s="8" t="s">
        <v>42</v>
      </c>
      <c r="C42" s="9">
        <v>328</v>
      </c>
      <c r="D42" s="37">
        <v>60.6</v>
      </c>
      <c r="E42" s="38">
        <f t="shared" si="0"/>
        <v>652.75247524752467</v>
      </c>
      <c r="F42" s="37"/>
      <c r="H42" s="16">
        <v>36586</v>
      </c>
      <c r="I42" s="45">
        <v>652.75247524752467</v>
      </c>
      <c r="K42" s="8"/>
    </row>
    <row r="43" spans="2:11" x14ac:dyDescent="0.2">
      <c r="B43" s="8" t="s">
        <v>43</v>
      </c>
      <c r="C43" s="9">
        <v>356</v>
      </c>
      <c r="D43" s="37">
        <v>61.2</v>
      </c>
      <c r="E43" s="38">
        <f t="shared" si="0"/>
        <v>701.52941176470586</v>
      </c>
      <c r="F43" s="37"/>
      <c r="H43" s="16">
        <v>36678</v>
      </c>
      <c r="I43" s="45">
        <v>701.52941176470586</v>
      </c>
      <c r="K43" s="8"/>
    </row>
    <row r="44" spans="2:11" x14ac:dyDescent="0.2">
      <c r="B44" s="8" t="s">
        <v>44</v>
      </c>
      <c r="C44" s="9">
        <v>333</v>
      </c>
      <c r="D44" s="37">
        <v>64.7</v>
      </c>
      <c r="E44" s="38">
        <f t="shared" si="0"/>
        <v>620.70788253477576</v>
      </c>
      <c r="F44" s="37"/>
      <c r="H44" s="16">
        <v>36770</v>
      </c>
      <c r="I44" s="45">
        <v>620.70788253477576</v>
      </c>
      <c r="K44" s="8"/>
    </row>
    <row r="45" spans="2:11" x14ac:dyDescent="0.2">
      <c r="B45" s="8" t="s">
        <v>45</v>
      </c>
      <c r="C45" s="9">
        <v>340</v>
      </c>
      <c r="D45" s="37">
        <v>64.8</v>
      </c>
      <c r="E45" s="38">
        <f t="shared" si="0"/>
        <v>632.77777777777783</v>
      </c>
      <c r="F45" s="37"/>
      <c r="H45" s="16">
        <v>36861</v>
      </c>
      <c r="I45" s="45">
        <v>632.77777777777783</v>
      </c>
      <c r="K45" s="8"/>
    </row>
    <row r="46" spans="2:11" x14ac:dyDescent="0.2">
      <c r="B46" s="8" t="s">
        <v>46</v>
      </c>
      <c r="C46" s="9">
        <v>350</v>
      </c>
      <c r="D46" s="37">
        <v>65</v>
      </c>
      <c r="E46" s="38">
        <f t="shared" si="0"/>
        <v>649.38461538461536</v>
      </c>
      <c r="F46" s="37"/>
      <c r="H46" s="16">
        <v>36951</v>
      </c>
      <c r="I46" s="45">
        <v>649.38461538461536</v>
      </c>
      <c r="K46" s="8"/>
    </row>
    <row r="47" spans="2:11" x14ac:dyDescent="0.2">
      <c r="B47" s="8" t="s">
        <v>47</v>
      </c>
      <c r="C47" s="9">
        <v>374</v>
      </c>
      <c r="D47" s="37">
        <v>65.400000000000006</v>
      </c>
      <c r="E47" s="38">
        <f t="shared" si="0"/>
        <v>689.66972477064212</v>
      </c>
      <c r="F47" s="37"/>
      <c r="H47" s="16">
        <v>37043</v>
      </c>
      <c r="I47" s="45">
        <v>689.66972477064212</v>
      </c>
      <c r="K47" s="8"/>
    </row>
    <row r="48" spans="2:11" x14ac:dyDescent="0.2">
      <c r="B48" s="8" t="s">
        <v>48</v>
      </c>
      <c r="C48" s="9">
        <v>385</v>
      </c>
      <c r="D48" s="37">
        <v>66</v>
      </c>
      <c r="E48" s="38">
        <f t="shared" si="0"/>
        <v>703.5</v>
      </c>
      <c r="F48" s="37"/>
      <c r="H48" s="16">
        <v>37135</v>
      </c>
      <c r="I48" s="45">
        <v>703.5</v>
      </c>
      <c r="K48" s="8"/>
    </row>
    <row r="49" spans="2:11" x14ac:dyDescent="0.2">
      <c r="B49" s="8" t="s">
        <v>49</v>
      </c>
      <c r="C49" s="9">
        <v>384</v>
      </c>
      <c r="D49" s="37">
        <v>66.400000000000006</v>
      </c>
      <c r="E49" s="38">
        <f t="shared" si="0"/>
        <v>697.44578313252998</v>
      </c>
      <c r="F49" s="37"/>
      <c r="H49" s="16">
        <v>37226</v>
      </c>
      <c r="I49" s="45">
        <v>697.44578313252998</v>
      </c>
      <c r="K49" s="8"/>
    </row>
    <row r="50" spans="2:11" x14ac:dyDescent="0.2">
      <c r="B50" s="8" t="s">
        <v>50</v>
      </c>
      <c r="C50" s="9">
        <v>410</v>
      </c>
      <c r="D50" s="37">
        <v>66.7</v>
      </c>
      <c r="E50" s="38">
        <f t="shared" si="0"/>
        <v>741.31934032983497</v>
      </c>
      <c r="F50" s="37"/>
      <c r="H50" s="16">
        <v>37316</v>
      </c>
      <c r="I50" s="45">
        <v>741.31934032983497</v>
      </c>
      <c r="K50" s="8"/>
    </row>
    <row r="51" spans="2:11" x14ac:dyDescent="0.2">
      <c r="B51" s="8" t="s">
        <v>51</v>
      </c>
      <c r="C51" s="9">
        <v>460</v>
      </c>
      <c r="D51" s="37">
        <v>67.2</v>
      </c>
      <c r="E51" s="38">
        <f t="shared" si="0"/>
        <v>825.53571428571422</v>
      </c>
      <c r="F51" s="37"/>
      <c r="H51" s="16">
        <v>37408</v>
      </c>
      <c r="I51" s="45">
        <v>825.53571428571422</v>
      </c>
      <c r="K51" s="8"/>
    </row>
    <row r="52" spans="2:11" x14ac:dyDescent="0.2">
      <c r="B52" s="8" t="s">
        <v>52</v>
      </c>
      <c r="C52" s="9">
        <v>481</v>
      </c>
      <c r="D52" s="37">
        <v>67.900000000000006</v>
      </c>
      <c r="E52" s="38">
        <f t="shared" si="0"/>
        <v>854.3240058910161</v>
      </c>
      <c r="F52" s="37"/>
      <c r="H52" s="16">
        <v>37500</v>
      </c>
      <c r="I52" s="45">
        <v>854.3240058910161</v>
      </c>
      <c r="K52" s="8"/>
    </row>
    <row r="53" spans="2:11" x14ac:dyDescent="0.2">
      <c r="B53" s="8" t="s">
        <v>53</v>
      </c>
      <c r="C53" s="9">
        <v>465</v>
      </c>
      <c r="D53" s="37">
        <v>68.099999999999994</v>
      </c>
      <c r="E53" s="38">
        <f t="shared" si="0"/>
        <v>823.4801762114538</v>
      </c>
      <c r="F53" s="37"/>
      <c r="H53" s="16">
        <v>37591</v>
      </c>
      <c r="I53" s="45">
        <v>823.4801762114538</v>
      </c>
      <c r="K53" s="8"/>
    </row>
    <row r="54" spans="2:11" x14ac:dyDescent="0.2">
      <c r="B54" s="8" t="s">
        <v>54</v>
      </c>
      <c r="C54" s="9">
        <v>440</v>
      </c>
      <c r="D54" s="37">
        <v>68.400000000000006</v>
      </c>
      <c r="E54" s="38">
        <f t="shared" si="0"/>
        <v>775.78947368421041</v>
      </c>
      <c r="F54" s="37"/>
      <c r="H54" s="16">
        <v>37681</v>
      </c>
      <c r="I54" s="45">
        <v>775.78947368421041</v>
      </c>
      <c r="K54" s="8"/>
    </row>
    <row r="55" spans="2:11" x14ac:dyDescent="0.2">
      <c r="B55" s="8" t="s">
        <v>55</v>
      </c>
      <c r="C55" s="9">
        <v>474</v>
      </c>
      <c r="D55" s="37">
        <v>68.900000000000006</v>
      </c>
      <c r="E55" s="38">
        <f t="shared" si="0"/>
        <v>829.67198838896934</v>
      </c>
      <c r="F55" s="37"/>
      <c r="H55" s="16">
        <v>37773</v>
      </c>
      <c r="I55" s="45">
        <v>829.67198838896934</v>
      </c>
      <c r="K55" s="8"/>
    </row>
    <row r="56" spans="2:11" x14ac:dyDescent="0.2">
      <c r="B56" s="8" t="s">
        <v>56</v>
      </c>
      <c r="C56" s="9">
        <v>514</v>
      </c>
      <c r="D56" s="37">
        <v>69.900000000000006</v>
      </c>
      <c r="E56" s="38">
        <f t="shared" si="0"/>
        <v>886.81545064377667</v>
      </c>
      <c r="F56" s="37"/>
      <c r="H56" s="16">
        <v>37865</v>
      </c>
      <c r="I56" s="45">
        <v>886.81545064377667</v>
      </c>
      <c r="K56" s="8"/>
    </row>
    <row r="57" spans="2:11" x14ac:dyDescent="0.2">
      <c r="B57" s="8" t="s">
        <v>57</v>
      </c>
      <c r="C57" s="9">
        <v>525</v>
      </c>
      <c r="D57" s="37">
        <v>70.099999999999994</v>
      </c>
      <c r="E57" s="38">
        <f t="shared" si="0"/>
        <v>903.20970042796012</v>
      </c>
      <c r="F57" s="37"/>
      <c r="H57" s="16">
        <v>37956</v>
      </c>
      <c r="I57" s="45">
        <v>903.20970042796012</v>
      </c>
      <c r="K57" s="8"/>
    </row>
    <row r="58" spans="2:11" x14ac:dyDescent="0.2">
      <c r="B58" s="8" t="s">
        <v>58</v>
      </c>
      <c r="C58" s="9">
        <v>551</v>
      </c>
      <c r="D58" s="37">
        <v>70.5</v>
      </c>
      <c r="E58" s="38">
        <f t="shared" si="0"/>
        <v>942.5617021276596</v>
      </c>
      <c r="F58" s="37"/>
      <c r="H58" s="16">
        <v>38047</v>
      </c>
      <c r="I58" s="45">
        <v>942.5617021276596</v>
      </c>
      <c r="K58" s="8"/>
    </row>
    <row r="59" spans="2:11" x14ac:dyDescent="0.2">
      <c r="B59" s="8" t="s">
        <v>59</v>
      </c>
      <c r="C59" s="9">
        <v>450</v>
      </c>
      <c r="D59" s="37">
        <v>71.099999999999994</v>
      </c>
      <c r="E59" s="38">
        <f t="shared" si="0"/>
        <v>763.29113924050637</v>
      </c>
      <c r="F59" s="37"/>
      <c r="H59" s="16">
        <v>38139</v>
      </c>
      <c r="I59" s="45">
        <v>763.29113924050637</v>
      </c>
      <c r="K59" s="8"/>
    </row>
    <row r="60" spans="2:11" x14ac:dyDescent="0.2">
      <c r="B60" s="8" t="s">
        <v>60</v>
      </c>
      <c r="C60" s="9">
        <v>492</v>
      </c>
      <c r="D60" s="37">
        <v>72.3</v>
      </c>
      <c r="E60" s="38">
        <f t="shared" si="0"/>
        <v>820.68049792531122</v>
      </c>
      <c r="F60" s="37"/>
      <c r="H60" s="16">
        <v>38231</v>
      </c>
      <c r="I60" s="45">
        <v>820.68049792531122</v>
      </c>
      <c r="K60" s="8"/>
    </row>
    <row r="61" spans="2:11" x14ac:dyDescent="0.2">
      <c r="B61" s="8" t="s">
        <v>61</v>
      </c>
      <c r="C61" s="9">
        <v>490</v>
      </c>
      <c r="D61" s="37">
        <v>72.8</v>
      </c>
      <c r="E61" s="38">
        <f t="shared" si="0"/>
        <v>811.73076923076917</v>
      </c>
      <c r="F61" s="37"/>
      <c r="H61" s="16">
        <v>38322</v>
      </c>
      <c r="I61" s="45">
        <v>811.73076923076917</v>
      </c>
      <c r="K61" s="8"/>
    </row>
    <row r="62" spans="2:11" x14ac:dyDescent="0.2">
      <c r="B62" s="8" t="s">
        <v>62</v>
      </c>
      <c r="C62" s="9">
        <v>501</v>
      </c>
      <c r="D62" s="37">
        <v>73.2</v>
      </c>
      <c r="E62" s="38">
        <f t="shared" si="0"/>
        <v>825.41803278688519</v>
      </c>
      <c r="F62" s="37"/>
      <c r="H62" s="16">
        <v>38412</v>
      </c>
      <c r="I62" s="45">
        <v>825.41803278688519</v>
      </c>
      <c r="K62" s="8"/>
    </row>
    <row r="63" spans="2:11" x14ac:dyDescent="0.2">
      <c r="B63" s="8" t="s">
        <v>63</v>
      </c>
      <c r="C63" s="9">
        <v>495</v>
      </c>
      <c r="D63" s="37">
        <v>73.7</v>
      </c>
      <c r="E63" s="38">
        <f t="shared" si="0"/>
        <v>809.99999999999989</v>
      </c>
      <c r="F63" s="37"/>
      <c r="H63" s="16">
        <v>38504</v>
      </c>
      <c r="I63" s="45">
        <v>809.99999999999989</v>
      </c>
      <c r="K63" s="8"/>
    </row>
    <row r="64" spans="2:11" x14ac:dyDescent="0.2">
      <c r="B64" s="8" t="s">
        <v>64</v>
      </c>
      <c r="C64" s="9">
        <v>480</v>
      </c>
      <c r="D64" s="37">
        <v>74.599999999999994</v>
      </c>
      <c r="E64" s="38">
        <f t="shared" si="0"/>
        <v>775.97855227882042</v>
      </c>
      <c r="F64" s="37"/>
      <c r="H64" s="16">
        <v>38596</v>
      </c>
      <c r="I64" s="45">
        <v>775.97855227882042</v>
      </c>
      <c r="K64" s="8"/>
    </row>
    <row r="65" spans="2:11" x14ac:dyDescent="0.2">
      <c r="B65" s="8" t="s">
        <v>65</v>
      </c>
      <c r="C65" s="9">
        <v>510</v>
      </c>
      <c r="D65" s="37">
        <v>75</v>
      </c>
      <c r="E65" s="38">
        <f t="shared" si="0"/>
        <v>820.07999999999993</v>
      </c>
      <c r="F65" s="37"/>
      <c r="H65" s="16">
        <v>38687</v>
      </c>
      <c r="I65" s="45">
        <v>820.07999999999993</v>
      </c>
      <c r="K65" s="8"/>
    </row>
    <row r="66" spans="2:11" x14ac:dyDescent="0.2">
      <c r="B66" s="8" t="s">
        <v>66</v>
      </c>
      <c r="C66" s="9">
        <v>515</v>
      </c>
      <c r="D66" s="37">
        <v>75.2</v>
      </c>
      <c r="E66" s="38">
        <f t="shared" si="0"/>
        <v>825.91755319148933</v>
      </c>
      <c r="F66" s="37"/>
      <c r="H66" s="16">
        <v>38777</v>
      </c>
      <c r="I66" s="45">
        <v>825.91755319148933</v>
      </c>
      <c r="K66" s="8"/>
    </row>
    <row r="67" spans="2:11" x14ac:dyDescent="0.2">
      <c r="B67" s="8" t="s">
        <v>67</v>
      </c>
      <c r="C67" s="9">
        <v>520</v>
      </c>
      <c r="D67" s="37">
        <v>75.599999999999994</v>
      </c>
      <c r="E67" s="38">
        <f t="shared" si="0"/>
        <v>829.52380952380963</v>
      </c>
      <c r="F67" s="37"/>
      <c r="H67" s="16">
        <v>38869</v>
      </c>
      <c r="I67" s="45">
        <v>829.52380952380963</v>
      </c>
      <c r="K67" s="8"/>
    </row>
    <row r="68" spans="2:11" x14ac:dyDescent="0.2">
      <c r="B68" s="8" t="s">
        <v>68</v>
      </c>
      <c r="C68" s="9">
        <v>469</v>
      </c>
      <c r="D68" s="37">
        <v>76.599999999999994</v>
      </c>
      <c r="E68" s="38">
        <f t="shared" si="0"/>
        <v>738.39947780678847</v>
      </c>
      <c r="F68" s="37"/>
      <c r="H68" s="16">
        <v>38961</v>
      </c>
      <c r="I68" s="45">
        <v>738.39947780678847</v>
      </c>
      <c r="K68" s="8"/>
    </row>
    <row r="69" spans="2:11" x14ac:dyDescent="0.2">
      <c r="B69" s="8" t="s">
        <v>69</v>
      </c>
      <c r="C69" s="9">
        <v>545</v>
      </c>
      <c r="D69" s="37">
        <v>76.8</v>
      </c>
      <c r="E69" s="38">
        <f>C69*($D$111/D69)</f>
        <v>855.8203125</v>
      </c>
      <c r="F69" s="37"/>
      <c r="H69" s="16">
        <v>39052</v>
      </c>
      <c r="I69" s="45">
        <v>855.8203125</v>
      </c>
      <c r="K69" s="8"/>
    </row>
    <row r="70" spans="2:11" x14ac:dyDescent="0.2">
      <c r="B70" s="8" t="s">
        <v>70</v>
      </c>
      <c r="C70" s="9">
        <v>475</v>
      </c>
      <c r="D70" s="37">
        <v>77.2</v>
      </c>
      <c r="E70" s="38">
        <f t="shared" ref="E70:E109" si="1">C70*($D$111/D70)</f>
        <v>742.03367875647655</v>
      </c>
      <c r="F70" s="37"/>
      <c r="H70" s="16">
        <v>39142</v>
      </c>
      <c r="I70" s="45">
        <v>742.03367875647655</v>
      </c>
      <c r="K70" s="8"/>
    </row>
    <row r="71" spans="2:11" x14ac:dyDescent="0.2">
      <c r="B71" s="8" t="s">
        <v>71</v>
      </c>
      <c r="C71" s="9">
        <v>501</v>
      </c>
      <c r="D71" s="37">
        <v>77.900000000000006</v>
      </c>
      <c r="E71" s="38">
        <f t="shared" si="1"/>
        <v>775.61745827984578</v>
      </c>
      <c r="F71" s="37"/>
      <c r="H71" s="16">
        <v>39234</v>
      </c>
      <c r="I71" s="45">
        <v>775.61745827984578</v>
      </c>
      <c r="K71" s="8"/>
    </row>
    <row r="72" spans="2:11" x14ac:dyDescent="0.2">
      <c r="B72" s="8" t="s">
        <v>72</v>
      </c>
      <c r="C72" s="9">
        <v>523</v>
      </c>
      <c r="D72" s="37">
        <v>79.400000000000006</v>
      </c>
      <c r="E72" s="38">
        <f t="shared" si="1"/>
        <v>794.38035264483619</v>
      </c>
      <c r="F72" s="37"/>
      <c r="H72" s="16">
        <v>39326</v>
      </c>
      <c r="I72" s="45">
        <v>794.38035264483619</v>
      </c>
      <c r="K72" s="8"/>
    </row>
    <row r="73" spans="2:11" x14ac:dyDescent="0.2">
      <c r="B73" s="8" t="s">
        <v>73</v>
      </c>
      <c r="C73" s="9">
        <v>490</v>
      </c>
      <c r="D73" s="37">
        <v>80</v>
      </c>
      <c r="E73" s="38">
        <f t="shared" si="1"/>
        <v>738.67499999999995</v>
      </c>
      <c r="F73" s="37"/>
      <c r="H73" s="16">
        <v>39417</v>
      </c>
      <c r="I73" s="45">
        <v>738.67499999999995</v>
      </c>
      <c r="K73" s="8"/>
    </row>
    <row r="74" spans="2:11" x14ac:dyDescent="0.2">
      <c r="B74" s="8" t="s">
        <v>74</v>
      </c>
      <c r="C74" s="9">
        <v>465</v>
      </c>
      <c r="D74" s="37">
        <v>81.2</v>
      </c>
      <c r="E74" s="38">
        <f t="shared" si="1"/>
        <v>690.62807881773392</v>
      </c>
      <c r="F74" s="37"/>
      <c r="H74" s="16">
        <v>39508</v>
      </c>
      <c r="I74" s="45">
        <v>690.62807881773392</v>
      </c>
      <c r="K74" s="8"/>
    </row>
    <row r="75" spans="2:11" x14ac:dyDescent="0.2">
      <c r="B75" s="8" t="s">
        <v>75</v>
      </c>
      <c r="C75" s="9">
        <v>520</v>
      </c>
      <c r="D75" s="37">
        <v>82.4</v>
      </c>
      <c r="E75" s="38">
        <f t="shared" si="1"/>
        <v>761.06796116504847</v>
      </c>
      <c r="F75" s="37"/>
      <c r="H75" s="16">
        <v>39600</v>
      </c>
      <c r="I75" s="45">
        <v>761.06796116504847</v>
      </c>
      <c r="K75" s="8"/>
    </row>
    <row r="76" spans="2:11" x14ac:dyDescent="0.2">
      <c r="B76" s="8" t="s">
        <v>76</v>
      </c>
      <c r="C76" s="9">
        <v>500</v>
      </c>
      <c r="D76" s="37">
        <v>84.4</v>
      </c>
      <c r="E76" s="38">
        <f t="shared" si="1"/>
        <v>714.45497630331749</v>
      </c>
      <c r="F76" s="37"/>
      <c r="H76" s="16">
        <v>39692</v>
      </c>
      <c r="I76" s="45">
        <v>714.45497630331749</v>
      </c>
      <c r="K76" s="8"/>
    </row>
    <row r="77" spans="2:11" x14ac:dyDescent="0.2">
      <c r="B77" s="8" t="s">
        <v>77</v>
      </c>
      <c r="C77" s="9">
        <v>468</v>
      </c>
      <c r="D77" s="37">
        <v>85.3</v>
      </c>
      <c r="E77" s="38">
        <f>C77*($D$111/D77)</f>
        <v>661.67409144196949</v>
      </c>
      <c r="F77" s="37"/>
      <c r="H77" s="16">
        <v>39783</v>
      </c>
      <c r="I77" s="45">
        <v>661.67409144196949</v>
      </c>
      <c r="K77" s="8"/>
    </row>
    <row r="78" spans="2:11" x14ac:dyDescent="0.2">
      <c r="B78" s="8" t="s">
        <v>78</v>
      </c>
      <c r="C78" s="9">
        <v>484</v>
      </c>
      <c r="D78" s="37">
        <v>85.9</v>
      </c>
      <c r="E78" s="38">
        <f t="shared" si="1"/>
        <v>679.5157159487776</v>
      </c>
      <c r="F78" s="37"/>
      <c r="H78" s="16">
        <v>39873</v>
      </c>
      <c r="I78" s="45">
        <v>679.5157159487776</v>
      </c>
      <c r="K78" s="8"/>
    </row>
    <row r="79" spans="2:11" x14ac:dyDescent="0.2">
      <c r="B79" s="8" t="s">
        <v>79</v>
      </c>
      <c r="C79" s="9">
        <v>508</v>
      </c>
      <c r="D79" s="37">
        <v>86.9</v>
      </c>
      <c r="E79" s="38">
        <f t="shared" si="1"/>
        <v>705.00345224395846</v>
      </c>
      <c r="F79" s="37"/>
      <c r="H79" s="16">
        <v>39965</v>
      </c>
      <c r="I79" s="45">
        <v>705.00345224395846</v>
      </c>
      <c r="K79" s="8"/>
    </row>
    <row r="80" spans="2:11" x14ac:dyDescent="0.2">
      <c r="B80" s="8" t="s">
        <v>80</v>
      </c>
      <c r="C80" s="9">
        <v>514</v>
      </c>
      <c r="D80" s="37">
        <v>90.2</v>
      </c>
      <c r="E80" s="38">
        <f t="shared" si="1"/>
        <v>687.23281596452318</v>
      </c>
      <c r="F80" s="37"/>
      <c r="H80" s="16">
        <v>40057</v>
      </c>
      <c r="I80" s="45">
        <v>687.23281596452318</v>
      </c>
      <c r="K80" s="8"/>
    </row>
    <row r="81" spans="2:11" x14ac:dyDescent="0.2">
      <c r="B81" s="8" t="s">
        <v>81</v>
      </c>
      <c r="C81" s="9">
        <v>580</v>
      </c>
      <c r="D81" s="37">
        <v>90.8</v>
      </c>
      <c r="E81" s="38">
        <f t="shared" si="1"/>
        <v>770.35242290748897</v>
      </c>
      <c r="F81" s="37"/>
      <c r="H81" s="16">
        <v>40148</v>
      </c>
      <c r="I81" s="45">
        <v>770.35242290748897</v>
      </c>
      <c r="K81" s="8"/>
    </row>
    <row r="82" spans="2:11" x14ac:dyDescent="0.2">
      <c r="B82" s="8" t="s">
        <v>84</v>
      </c>
      <c r="C82" s="9">
        <v>571</v>
      </c>
      <c r="D82" s="37">
        <v>91.6</v>
      </c>
      <c r="E82" s="38">
        <f t="shared" si="1"/>
        <v>751.77510917030565</v>
      </c>
      <c r="F82" s="37"/>
      <c r="H82" s="16">
        <v>40238</v>
      </c>
      <c r="I82" s="45">
        <v>751.77510917030565</v>
      </c>
      <c r="K82" s="8"/>
    </row>
    <row r="83" spans="2:11" x14ac:dyDescent="0.2">
      <c r="B83" s="8" t="s">
        <v>85</v>
      </c>
      <c r="C83" s="9">
        <v>665</v>
      </c>
      <c r="D83" s="37">
        <v>92.1</v>
      </c>
      <c r="E83" s="38">
        <f t="shared" si="1"/>
        <v>870.78175895765469</v>
      </c>
      <c r="F83" s="37"/>
      <c r="H83" s="16">
        <v>40330</v>
      </c>
      <c r="I83" s="45">
        <v>870.78175895765469</v>
      </c>
      <c r="K83" s="8"/>
    </row>
    <row r="84" spans="2:11" x14ac:dyDescent="0.2">
      <c r="B84" s="8" t="s">
        <v>86</v>
      </c>
      <c r="C84" s="9">
        <v>590</v>
      </c>
      <c r="D84" s="37">
        <v>94.2</v>
      </c>
      <c r="E84" s="38">
        <f t="shared" si="1"/>
        <v>755.35031847133757</v>
      </c>
      <c r="F84" s="37"/>
      <c r="H84" s="16">
        <v>40422</v>
      </c>
      <c r="I84" s="45">
        <v>755.35031847133757</v>
      </c>
      <c r="K84" s="8"/>
    </row>
    <row r="85" spans="2:11" x14ac:dyDescent="0.2">
      <c r="B85" s="8" t="s">
        <v>87</v>
      </c>
      <c r="C85" s="9">
        <v>655</v>
      </c>
      <c r="D85" s="37">
        <v>95</v>
      </c>
      <c r="E85" s="38">
        <f t="shared" si="1"/>
        <v>831.50526315789477</v>
      </c>
      <c r="F85" s="37"/>
      <c r="H85" s="16">
        <v>40513</v>
      </c>
      <c r="I85" s="45">
        <v>831.50526315789477</v>
      </c>
      <c r="K85" s="8"/>
    </row>
    <row r="86" spans="2:11" x14ac:dyDescent="0.2">
      <c r="B86" s="8" t="s">
        <v>88</v>
      </c>
      <c r="C86" s="9">
        <v>600</v>
      </c>
      <c r="D86" s="37">
        <v>96</v>
      </c>
      <c r="E86" s="38">
        <f t="shared" si="1"/>
        <v>753.74999999999989</v>
      </c>
      <c r="F86" s="37"/>
      <c r="H86" s="16">
        <v>40603</v>
      </c>
      <c r="I86" s="45">
        <v>753.74999999999989</v>
      </c>
      <c r="K86" s="8"/>
    </row>
    <row r="87" spans="2:11" x14ac:dyDescent="0.2">
      <c r="B87" s="8" t="s">
        <v>89</v>
      </c>
      <c r="C87" s="9">
        <v>672</v>
      </c>
      <c r="D87" s="37">
        <v>96.8</v>
      </c>
      <c r="E87" s="38">
        <f t="shared" si="1"/>
        <v>837.22314049586771</v>
      </c>
      <c r="F87" s="37"/>
      <c r="H87" s="16">
        <v>40695</v>
      </c>
      <c r="I87" s="45">
        <v>837.22314049586771</v>
      </c>
      <c r="K87" s="8"/>
    </row>
    <row r="88" spans="2:11" x14ac:dyDescent="0.2">
      <c r="B88" s="8" t="s">
        <v>90</v>
      </c>
      <c r="C88" s="9">
        <v>600</v>
      </c>
      <c r="D88" s="37">
        <v>99.1</v>
      </c>
      <c r="E88" s="38">
        <f t="shared" si="1"/>
        <v>730.17154389505549</v>
      </c>
      <c r="F88" s="37"/>
      <c r="H88" s="16">
        <v>40787</v>
      </c>
      <c r="I88" s="45">
        <v>730.17154389505549</v>
      </c>
      <c r="K88" s="8"/>
    </row>
    <row r="89" spans="2:11" x14ac:dyDescent="0.2">
      <c r="B89" s="8" t="s">
        <v>91</v>
      </c>
      <c r="C89" s="9">
        <v>539</v>
      </c>
      <c r="D89" s="37">
        <v>99.8</v>
      </c>
      <c r="E89" s="38">
        <f t="shared" si="1"/>
        <v>651.33667334669337</v>
      </c>
      <c r="F89" s="37"/>
      <c r="H89" s="16">
        <v>40878</v>
      </c>
      <c r="I89" s="45">
        <v>651.33667334669337</v>
      </c>
      <c r="K89" s="8"/>
    </row>
    <row r="90" spans="2:11" x14ac:dyDescent="0.2">
      <c r="B90" s="8" t="s">
        <v>92</v>
      </c>
      <c r="C90" s="9">
        <v>570</v>
      </c>
      <c r="D90" s="37">
        <v>100.1</v>
      </c>
      <c r="E90" s="38">
        <f t="shared" si="1"/>
        <v>686.73326673326676</v>
      </c>
      <c r="F90" s="37"/>
      <c r="H90" s="16">
        <v>40969</v>
      </c>
      <c r="I90" s="45">
        <v>686.73326673326676</v>
      </c>
      <c r="K90" s="8"/>
    </row>
    <row r="91" spans="2:11" x14ac:dyDescent="0.2">
      <c r="B91" s="8" t="s">
        <v>93</v>
      </c>
      <c r="C91" s="9">
        <v>595</v>
      </c>
      <c r="D91" s="37">
        <v>101</v>
      </c>
      <c r="E91" s="38">
        <f t="shared" si="1"/>
        <v>710.46534653465346</v>
      </c>
      <c r="F91" s="37"/>
      <c r="H91" s="16">
        <v>41061</v>
      </c>
      <c r="I91" s="45">
        <v>710.46534653465346</v>
      </c>
      <c r="K91" s="8"/>
    </row>
    <row r="92" spans="2:11" x14ac:dyDescent="0.2">
      <c r="B92" s="8" t="s">
        <v>94</v>
      </c>
      <c r="C92" s="9">
        <v>634</v>
      </c>
      <c r="D92" s="37">
        <v>104.3</v>
      </c>
      <c r="E92" s="38">
        <f t="shared" si="1"/>
        <v>733.08149568552244</v>
      </c>
      <c r="F92" s="37"/>
      <c r="H92" s="16">
        <v>41153</v>
      </c>
      <c r="I92" s="45">
        <v>733.08149568552244</v>
      </c>
      <c r="K92" s="8"/>
    </row>
    <row r="93" spans="2:11" x14ac:dyDescent="0.2">
      <c r="B93" s="8" t="s">
        <v>95</v>
      </c>
      <c r="C93" s="9">
        <v>720</v>
      </c>
      <c r="D93" s="37">
        <v>105.1</v>
      </c>
      <c r="E93" s="38">
        <f t="shared" si="1"/>
        <v>826.18458610846824</v>
      </c>
      <c r="F93" s="37"/>
      <c r="H93" s="16">
        <v>41244</v>
      </c>
      <c r="I93" s="45">
        <v>826.18458610846824</v>
      </c>
      <c r="K93" s="8"/>
    </row>
    <row r="94" spans="2:11" x14ac:dyDescent="0.2">
      <c r="B94" s="8" t="s">
        <v>98</v>
      </c>
      <c r="C94" s="9">
        <v>645</v>
      </c>
      <c r="D94" s="37">
        <v>105.9</v>
      </c>
      <c r="E94" s="38">
        <f t="shared" si="1"/>
        <v>734.53257790368264</v>
      </c>
      <c r="F94" s="37"/>
      <c r="H94" s="16">
        <v>41334</v>
      </c>
      <c r="I94" s="45">
        <v>734.53257790368264</v>
      </c>
      <c r="K94" s="8"/>
    </row>
    <row r="95" spans="2:11" x14ac:dyDescent="0.2">
      <c r="B95" s="8" t="s">
        <v>99</v>
      </c>
      <c r="C95" s="9">
        <v>697</v>
      </c>
      <c r="D95" s="37">
        <v>106.6</v>
      </c>
      <c r="E95" s="38">
        <f t="shared" si="1"/>
        <v>788.53846153846143</v>
      </c>
      <c r="F95" s="37"/>
      <c r="H95" s="16">
        <v>41426</v>
      </c>
      <c r="I95" s="45">
        <v>788.53846153846143</v>
      </c>
      <c r="K95" s="8"/>
    </row>
    <row r="96" spans="2:11" x14ac:dyDescent="0.2">
      <c r="B96" s="8" t="s">
        <v>100</v>
      </c>
      <c r="C96" s="9">
        <v>650</v>
      </c>
      <c r="D96" s="37">
        <v>108.5</v>
      </c>
      <c r="E96" s="38">
        <f t="shared" si="1"/>
        <v>722.48847926267285</v>
      </c>
      <c r="F96" s="37"/>
      <c r="H96" s="16">
        <v>41518</v>
      </c>
      <c r="I96" s="45">
        <v>722.48847926267285</v>
      </c>
      <c r="K96" s="8"/>
    </row>
    <row r="97" spans="2:11" x14ac:dyDescent="0.2">
      <c r="B97" s="8" t="s">
        <v>101</v>
      </c>
      <c r="C97" s="9">
        <v>650</v>
      </c>
      <c r="D97" s="37">
        <v>109.2</v>
      </c>
      <c r="E97" s="38">
        <f t="shared" si="1"/>
        <v>717.85714285714278</v>
      </c>
      <c r="F97" s="37"/>
      <c r="H97" s="16">
        <v>41609</v>
      </c>
      <c r="I97" s="45">
        <v>717.85714285714278</v>
      </c>
      <c r="K97" s="8"/>
    </row>
    <row r="98" spans="2:11" x14ac:dyDescent="0.2">
      <c r="B98" s="8" t="s">
        <v>102</v>
      </c>
      <c r="C98" s="9">
        <v>698</v>
      </c>
      <c r="D98" s="37">
        <v>109.7</v>
      </c>
      <c r="E98" s="38">
        <f t="shared" si="1"/>
        <v>767.3546034639927</v>
      </c>
      <c r="F98" s="37"/>
      <c r="H98" s="16">
        <v>41699</v>
      </c>
      <c r="I98" s="45">
        <v>767.3546034639927</v>
      </c>
      <c r="K98" s="8"/>
    </row>
    <row r="99" spans="2:11" x14ac:dyDescent="0.2">
      <c r="B99" s="8" t="s">
        <v>103</v>
      </c>
      <c r="C99" s="9">
        <v>718</v>
      </c>
      <c r="D99" s="37">
        <v>110.8</v>
      </c>
      <c r="E99" s="38">
        <f t="shared" si="1"/>
        <v>781.50541516245482</v>
      </c>
      <c r="F99" s="37"/>
      <c r="H99" s="16">
        <v>41791</v>
      </c>
      <c r="I99" s="45">
        <v>781.50541516245482</v>
      </c>
      <c r="K99" s="8"/>
    </row>
    <row r="100" spans="2:11" x14ac:dyDescent="0.2">
      <c r="B100" s="16" t="s">
        <v>105</v>
      </c>
      <c r="C100" s="9">
        <v>730</v>
      </c>
      <c r="D100" s="37">
        <v>111.7</v>
      </c>
      <c r="E100" s="38">
        <f t="shared" si="1"/>
        <v>788.16472694717993</v>
      </c>
      <c r="F100" s="37"/>
      <c r="H100" s="16">
        <v>41883</v>
      </c>
      <c r="I100" s="45">
        <v>788.16472694717993</v>
      </c>
      <c r="K100" s="8"/>
    </row>
    <row r="101" spans="2:11" x14ac:dyDescent="0.2">
      <c r="B101" s="8" t="s">
        <v>104</v>
      </c>
      <c r="C101" s="9">
        <v>840</v>
      </c>
      <c r="D101" s="37">
        <v>112.6</v>
      </c>
      <c r="E101" s="38">
        <f t="shared" si="1"/>
        <v>899.6802841918294</v>
      </c>
      <c r="F101" s="37"/>
      <c r="H101" s="16">
        <v>41974</v>
      </c>
      <c r="I101" s="45">
        <v>899.6802841918294</v>
      </c>
      <c r="K101" s="8"/>
    </row>
    <row r="102" spans="2:11" x14ac:dyDescent="0.2">
      <c r="B102" s="8" t="s">
        <v>106</v>
      </c>
      <c r="C102" s="9">
        <v>743</v>
      </c>
      <c r="D102" s="37">
        <v>113.6</v>
      </c>
      <c r="E102" s="38">
        <f t="shared" si="1"/>
        <v>788.7834507042254</v>
      </c>
      <c r="F102" s="37"/>
      <c r="H102" s="16">
        <v>42064</v>
      </c>
      <c r="I102" s="45">
        <v>788.7834507042254</v>
      </c>
      <c r="K102" s="16"/>
    </row>
    <row r="103" spans="2:11" x14ac:dyDescent="0.2">
      <c r="B103" s="8" t="s">
        <v>107</v>
      </c>
      <c r="C103" s="9">
        <v>870</v>
      </c>
      <c r="D103" s="37">
        <v>114.9</v>
      </c>
      <c r="E103" s="38">
        <f t="shared" si="1"/>
        <v>913.15926892950381</v>
      </c>
      <c r="F103" s="37"/>
      <c r="H103" s="16">
        <v>42156</v>
      </c>
      <c r="I103" s="45">
        <v>913.15926892950381</v>
      </c>
      <c r="K103" s="8"/>
    </row>
    <row r="104" spans="2:11" x14ac:dyDescent="0.2">
      <c r="B104" s="8" t="s">
        <v>108</v>
      </c>
      <c r="C104" s="9">
        <v>900</v>
      </c>
      <c r="D104" s="37">
        <v>115.1</v>
      </c>
      <c r="E104" s="38">
        <f t="shared" si="1"/>
        <v>943.00608166811469</v>
      </c>
      <c r="F104" s="37"/>
      <c r="H104" s="16">
        <v>42248</v>
      </c>
      <c r="I104" s="45">
        <v>943.00608166811469</v>
      </c>
      <c r="K104" s="8"/>
    </row>
    <row r="105" spans="2:11" x14ac:dyDescent="0.2">
      <c r="B105" s="8" t="s">
        <v>109</v>
      </c>
      <c r="C105" s="9">
        <v>880</v>
      </c>
      <c r="D105" s="37">
        <v>115.4</v>
      </c>
      <c r="E105" s="38">
        <f t="shared" si="1"/>
        <v>919.65337954939332</v>
      </c>
      <c r="F105" s="37"/>
      <c r="H105" s="16">
        <v>42339</v>
      </c>
      <c r="I105" s="45">
        <v>919.65337954939332</v>
      </c>
      <c r="K105" s="8"/>
    </row>
    <row r="106" spans="2:11" x14ac:dyDescent="0.2">
      <c r="B106" s="8" t="s">
        <v>110</v>
      </c>
      <c r="C106" s="9">
        <v>875</v>
      </c>
      <c r="D106" s="37">
        <v>115.9</v>
      </c>
      <c r="E106" s="38">
        <f>C106*($D$111/D106)</f>
        <v>910.48317515099211</v>
      </c>
      <c r="F106" s="37"/>
      <c r="H106" s="16">
        <v>42430</v>
      </c>
      <c r="I106" s="45">
        <v>910.48317515099211</v>
      </c>
      <c r="K106" s="8"/>
    </row>
    <row r="107" spans="2:11" x14ac:dyDescent="0.2">
      <c r="B107" s="16" t="s">
        <v>168</v>
      </c>
      <c r="C107" s="9">
        <v>1043</v>
      </c>
      <c r="D107" s="37">
        <v>116.7</v>
      </c>
      <c r="E107" s="38">
        <f>C107*($D$111/D107)</f>
        <v>1077.8560411311055</v>
      </c>
      <c r="F107" s="37"/>
      <c r="H107" s="16">
        <v>42522</v>
      </c>
      <c r="I107" s="45">
        <v>1077.8560411311055</v>
      </c>
      <c r="K107" s="8"/>
    </row>
    <row r="108" spans="2:11" x14ac:dyDescent="0.2">
      <c r="B108" s="16" t="s">
        <v>169</v>
      </c>
      <c r="C108" s="9">
        <v>895</v>
      </c>
      <c r="D108" s="37">
        <v>118.4</v>
      </c>
      <c r="E108" s="38">
        <f>C108*($D$111/D108)</f>
        <v>911.63006756756738</v>
      </c>
      <c r="F108" s="37"/>
      <c r="H108" s="16">
        <v>42614</v>
      </c>
      <c r="I108" s="45">
        <v>911.63006756756738</v>
      </c>
      <c r="K108" s="8"/>
    </row>
    <row r="109" spans="2:11" x14ac:dyDescent="0.2">
      <c r="B109" s="16" t="s">
        <v>170</v>
      </c>
      <c r="C109" s="9">
        <v>1002</v>
      </c>
      <c r="D109" s="37">
        <v>119</v>
      </c>
      <c r="E109" s="38">
        <f>C109*($D$111/D109)</f>
        <v>1015.4722689075629</v>
      </c>
      <c r="F109" s="37"/>
      <c r="H109" s="16">
        <v>42705</v>
      </c>
      <c r="I109" s="45">
        <v>1015.4722689075629</v>
      </c>
      <c r="K109" s="25"/>
    </row>
    <row r="110" spans="2:11" x14ac:dyDescent="0.2">
      <c r="B110" s="16" t="s">
        <v>166</v>
      </c>
      <c r="C110" s="9">
        <v>870</v>
      </c>
      <c r="D110" s="37">
        <v>119.8</v>
      </c>
      <c r="E110" s="38">
        <f>C110*($D$111/D110)</f>
        <v>875.80968280467448</v>
      </c>
      <c r="F110" s="37"/>
      <c r="H110" s="16">
        <v>42795</v>
      </c>
      <c r="I110" s="45">
        <v>875.80968280467448</v>
      </c>
      <c r="K110" s="25"/>
    </row>
    <row r="111" spans="2:11" x14ac:dyDescent="0.2">
      <c r="B111" s="16" t="s">
        <v>171</v>
      </c>
      <c r="C111" s="9" t="s">
        <v>123</v>
      </c>
      <c r="D111" s="37">
        <v>120.6</v>
      </c>
      <c r="E111" s="38"/>
      <c r="F111" s="37"/>
      <c r="H111" s="16">
        <v>42887</v>
      </c>
      <c r="K111" s="25"/>
    </row>
    <row r="112" spans="2:11" x14ac:dyDescent="0.2">
      <c r="B112" s="5"/>
      <c r="C112" s="14"/>
      <c r="E112" s="36"/>
      <c r="F112" s="37"/>
      <c r="K112" s="25"/>
    </row>
    <row r="113" spans="2:11" x14ac:dyDescent="0.2">
      <c r="B113" s="5"/>
      <c r="C113" s="14"/>
      <c r="E113" s="36"/>
      <c r="F113" s="37"/>
      <c r="K113" s="5"/>
    </row>
    <row r="114" spans="2:11" x14ac:dyDescent="0.2">
      <c r="B114" s="5"/>
      <c r="C114" s="13"/>
      <c r="E114" s="36"/>
      <c r="F114" s="37"/>
      <c r="K114" s="5"/>
    </row>
    <row r="115" spans="2:11" x14ac:dyDescent="0.2">
      <c r="B115" s="5"/>
      <c r="C115" s="26"/>
      <c r="E115" s="36"/>
      <c r="F115" s="37"/>
      <c r="K115" s="5"/>
    </row>
    <row r="116" spans="2:11" x14ac:dyDescent="0.2">
      <c r="B116" s="5"/>
      <c r="C116" s="14"/>
      <c r="E116" s="36"/>
      <c r="F116" s="37"/>
      <c r="K116" s="5"/>
    </row>
    <row r="117" spans="2:11" x14ac:dyDescent="0.2">
      <c r="B117" s="5"/>
      <c r="C117" s="14"/>
      <c r="E117" s="36"/>
      <c r="F117" s="37"/>
      <c r="K117" s="5"/>
    </row>
    <row r="118" spans="2:11" x14ac:dyDescent="0.2">
      <c r="B118" s="5"/>
      <c r="C118" s="14"/>
      <c r="E118" s="36"/>
      <c r="F118" s="37"/>
      <c r="K118" s="5"/>
    </row>
    <row r="119" spans="2:11" x14ac:dyDescent="0.2">
      <c r="B119" s="5"/>
      <c r="C119" s="14"/>
      <c r="E119" s="36"/>
      <c r="F119" s="37"/>
      <c r="K119" s="5"/>
    </row>
    <row r="120" spans="2:11" x14ac:dyDescent="0.2">
      <c r="B120" s="5"/>
      <c r="C120" s="14"/>
      <c r="E120" s="36"/>
      <c r="F120" s="37"/>
      <c r="K120" s="5"/>
    </row>
    <row r="121" spans="2:11" x14ac:dyDescent="0.2">
      <c r="B121" s="5"/>
      <c r="C121" s="14"/>
      <c r="E121" s="36"/>
      <c r="F121" s="37"/>
      <c r="K121" s="5"/>
    </row>
    <row r="122" spans="2:11" x14ac:dyDescent="0.2">
      <c r="B122" s="5"/>
      <c r="C122" s="14"/>
      <c r="E122" s="36"/>
      <c r="F122" s="37"/>
      <c r="K122" s="5"/>
    </row>
    <row r="123" spans="2:11" x14ac:dyDescent="0.2">
      <c r="B123" s="5"/>
      <c r="C123" s="14"/>
      <c r="E123" s="36"/>
      <c r="F123" s="37"/>
      <c r="K123" s="5"/>
    </row>
    <row r="124" spans="2:11" x14ac:dyDescent="0.2">
      <c r="B124" s="5"/>
      <c r="C124" s="14"/>
      <c r="E124" s="36"/>
      <c r="F124" s="37"/>
      <c r="K124" s="5"/>
    </row>
    <row r="125" spans="2:11" x14ac:dyDescent="0.2">
      <c r="B125" s="5"/>
      <c r="C125" s="14"/>
      <c r="E125" s="36"/>
      <c r="F125" s="37"/>
      <c r="K125" s="5"/>
    </row>
    <row r="126" spans="2:11" x14ac:dyDescent="0.2">
      <c r="B126" s="5"/>
      <c r="C126" s="14"/>
      <c r="E126" s="36"/>
      <c r="F126" s="37"/>
      <c r="K126" s="5"/>
    </row>
    <row r="127" spans="2:11" x14ac:dyDescent="0.2">
      <c r="B127" s="5"/>
      <c r="C127" s="14"/>
      <c r="E127" s="36"/>
      <c r="F127" s="37"/>
      <c r="K127" s="5"/>
    </row>
    <row r="128" spans="2:11" x14ac:dyDescent="0.2">
      <c r="B128" s="5"/>
      <c r="C128" s="14"/>
      <c r="K128" s="5"/>
    </row>
    <row r="129" spans="2:11" x14ac:dyDescent="0.2">
      <c r="B129" s="5"/>
      <c r="C129" s="14"/>
      <c r="K129" s="5"/>
    </row>
    <row r="130" spans="2:11" x14ac:dyDescent="0.2">
      <c r="B130" s="5"/>
      <c r="C130" s="14"/>
      <c r="K130" s="5"/>
    </row>
    <row r="131" spans="2:11" x14ac:dyDescent="0.2">
      <c r="B131" s="5"/>
      <c r="C131" s="14"/>
      <c r="K131" s="5"/>
    </row>
    <row r="132" spans="2:11" x14ac:dyDescent="0.2">
      <c r="B132" s="5"/>
      <c r="C132" s="14"/>
      <c r="K132" s="5"/>
    </row>
    <row r="133" spans="2:11" x14ac:dyDescent="0.2">
      <c r="B133" s="5"/>
      <c r="C133" s="14"/>
      <c r="K133" s="5"/>
    </row>
    <row r="134" spans="2:11" x14ac:dyDescent="0.2">
      <c r="B134" s="5"/>
      <c r="C134" s="14"/>
      <c r="K134" s="5"/>
    </row>
    <row r="135" spans="2:11" x14ac:dyDescent="0.2">
      <c r="B135" s="5"/>
      <c r="C135" s="14"/>
      <c r="K135" s="5"/>
    </row>
    <row r="136" spans="2:11" x14ac:dyDescent="0.2">
      <c r="B136" s="5"/>
      <c r="C136" s="14"/>
      <c r="K136" s="5"/>
    </row>
    <row r="137" spans="2:11" x14ac:dyDescent="0.2">
      <c r="B137" s="5"/>
      <c r="C137" s="14"/>
      <c r="K137" s="5"/>
    </row>
    <row r="138" spans="2:11" x14ac:dyDescent="0.2">
      <c r="B138" s="5"/>
      <c r="C138" s="14"/>
      <c r="K138" s="5"/>
    </row>
    <row r="139" spans="2:11" x14ac:dyDescent="0.2">
      <c r="B139" s="5"/>
      <c r="C139" s="14"/>
      <c r="K139" s="5"/>
    </row>
    <row r="140" spans="2:11" x14ac:dyDescent="0.2">
      <c r="B140" s="5"/>
      <c r="C140" s="14"/>
      <c r="K140" s="5"/>
    </row>
    <row r="141" spans="2:11" x14ac:dyDescent="0.2">
      <c r="B141" s="5"/>
      <c r="C141" s="14"/>
      <c r="K141" s="5"/>
    </row>
    <row r="142" spans="2:11" x14ac:dyDescent="0.2">
      <c r="B142" s="5"/>
      <c r="C142" s="14"/>
      <c r="K142" s="5"/>
    </row>
    <row r="143" spans="2:11" x14ac:dyDescent="0.2">
      <c r="B143" s="5"/>
      <c r="C143" s="14"/>
      <c r="K143" s="5"/>
    </row>
    <row r="144" spans="2:11" x14ac:dyDescent="0.2">
      <c r="B144" s="5"/>
      <c r="C144" s="14"/>
      <c r="K144" s="5"/>
    </row>
    <row r="145" spans="2:11" x14ac:dyDescent="0.2">
      <c r="B145" s="5"/>
      <c r="C145" s="14"/>
      <c r="K145" s="5"/>
    </row>
    <row r="146" spans="2:11" x14ac:dyDescent="0.2">
      <c r="B146" s="5"/>
      <c r="C146" s="14"/>
      <c r="K146" s="5"/>
    </row>
    <row r="147" spans="2:11" x14ac:dyDescent="0.2">
      <c r="B147" s="5"/>
      <c r="C147" s="14"/>
      <c r="K147" s="5"/>
    </row>
    <row r="148" spans="2:11" x14ac:dyDescent="0.2">
      <c r="B148" s="5"/>
      <c r="C148" s="14"/>
      <c r="K148" s="5"/>
    </row>
    <row r="149" spans="2:11" x14ac:dyDescent="0.2">
      <c r="B149" s="5"/>
      <c r="C149" s="14"/>
      <c r="K149" s="5"/>
    </row>
    <row r="150" spans="2:11" x14ac:dyDescent="0.2">
      <c r="B150" s="5"/>
      <c r="C150" s="14"/>
      <c r="K150" s="5"/>
    </row>
    <row r="151" spans="2:11" x14ac:dyDescent="0.2">
      <c r="B151" s="5"/>
      <c r="C151" s="14"/>
      <c r="K151" s="5"/>
    </row>
    <row r="152" spans="2:11" x14ac:dyDescent="0.2">
      <c r="B152" s="5"/>
      <c r="C152" s="14"/>
      <c r="K152" s="5"/>
    </row>
    <row r="153" spans="2:11" x14ac:dyDescent="0.2">
      <c r="B153" s="5"/>
      <c r="C153" s="10"/>
      <c r="K153" s="5"/>
    </row>
    <row r="154" spans="2:11" x14ac:dyDescent="0.2">
      <c r="B154" s="5"/>
      <c r="C154" s="10"/>
      <c r="K154" s="5"/>
    </row>
    <row r="155" spans="2:11" x14ac:dyDescent="0.2">
      <c r="B155" s="5"/>
      <c r="C155" s="10"/>
      <c r="K155" s="5"/>
    </row>
    <row r="156" spans="2:11" x14ac:dyDescent="0.2">
      <c r="B156" s="5"/>
      <c r="C156" s="10"/>
      <c r="K156" s="5"/>
    </row>
    <row r="157" spans="2:11" x14ac:dyDescent="0.2">
      <c r="B157" s="5"/>
      <c r="C157" s="10"/>
      <c r="K157" s="5"/>
    </row>
    <row r="158" spans="2:11" x14ac:dyDescent="0.2">
      <c r="B158" s="5"/>
      <c r="C158" s="10"/>
      <c r="K158" s="5"/>
    </row>
    <row r="159" spans="2:11" x14ac:dyDescent="0.2">
      <c r="B159" s="5"/>
      <c r="C159" s="10"/>
      <c r="K159" s="5"/>
    </row>
    <row r="160" spans="2:11" x14ac:dyDescent="0.2">
      <c r="B160" s="5"/>
      <c r="C160" s="10"/>
      <c r="K160" s="5"/>
    </row>
    <row r="161" spans="2:11" x14ac:dyDescent="0.2">
      <c r="B161" s="5"/>
      <c r="C161" s="10"/>
      <c r="K161" s="5"/>
    </row>
    <row r="162" spans="2:11" x14ac:dyDescent="0.2">
      <c r="B162" s="5"/>
      <c r="C162" s="10"/>
      <c r="K162" s="5"/>
    </row>
    <row r="163" spans="2:11" x14ac:dyDescent="0.2">
      <c r="B163" s="5"/>
      <c r="C163" s="10"/>
      <c r="K163" s="5"/>
    </row>
    <row r="164" spans="2:11" x14ac:dyDescent="0.2">
      <c r="B164" s="5"/>
      <c r="C164" s="10"/>
      <c r="K164" s="5"/>
    </row>
    <row r="165" spans="2:11" x14ac:dyDescent="0.2">
      <c r="B165" s="5"/>
      <c r="C165" s="10"/>
      <c r="K165" s="5"/>
    </row>
    <row r="166" spans="2:11" x14ac:dyDescent="0.2">
      <c r="B166" s="5"/>
      <c r="C166" s="10"/>
      <c r="K166" s="5"/>
    </row>
    <row r="167" spans="2:11" x14ac:dyDescent="0.2">
      <c r="B167" s="5"/>
      <c r="C167" s="10"/>
      <c r="K167" s="5"/>
    </row>
    <row r="168" spans="2:11" x14ac:dyDescent="0.2">
      <c r="B168" s="5"/>
      <c r="C168" s="10"/>
      <c r="K168" s="5"/>
    </row>
    <row r="169" spans="2:11" x14ac:dyDescent="0.2">
      <c r="B169" s="5"/>
      <c r="C169" s="10"/>
      <c r="K169" s="5"/>
    </row>
    <row r="170" spans="2:11" x14ac:dyDescent="0.2">
      <c r="B170" s="5"/>
      <c r="C170" s="10"/>
      <c r="K170" s="5"/>
    </row>
    <row r="171" spans="2:11" x14ac:dyDescent="0.2">
      <c r="B171" s="5"/>
      <c r="C171" s="10"/>
      <c r="K171" s="5"/>
    </row>
    <row r="172" spans="2:11" x14ac:dyDescent="0.2">
      <c r="B172" s="5"/>
      <c r="C172" s="10"/>
      <c r="K172" s="5"/>
    </row>
    <row r="173" spans="2:11" x14ac:dyDescent="0.2">
      <c r="B173" s="5"/>
      <c r="C173" s="10"/>
      <c r="K173" s="5"/>
    </row>
    <row r="174" spans="2:11" x14ac:dyDescent="0.2">
      <c r="B174" s="5"/>
      <c r="C174" s="10"/>
      <c r="K174" s="5"/>
    </row>
    <row r="175" spans="2:11" x14ac:dyDescent="0.2">
      <c r="B175" s="5"/>
      <c r="C175" s="10"/>
      <c r="K175" s="5"/>
    </row>
    <row r="176" spans="2:11" x14ac:dyDescent="0.2">
      <c r="B176" s="5"/>
      <c r="C176" s="10"/>
      <c r="K176" s="5"/>
    </row>
    <row r="177" spans="2:11" x14ac:dyDescent="0.2">
      <c r="B177" s="5"/>
      <c r="C177" s="10"/>
      <c r="K177" s="5"/>
    </row>
    <row r="178" spans="2:11" x14ac:dyDescent="0.2">
      <c r="B178" s="5"/>
      <c r="C178" s="10"/>
      <c r="K178" s="5"/>
    </row>
    <row r="179" spans="2:11" x14ac:dyDescent="0.2">
      <c r="B179" s="5"/>
      <c r="C179" s="10"/>
      <c r="K179" s="5"/>
    </row>
    <row r="180" spans="2:11" x14ac:dyDescent="0.2">
      <c r="B180" s="5"/>
      <c r="C180" s="10"/>
      <c r="K180" s="5"/>
    </row>
    <row r="181" spans="2:11" x14ac:dyDescent="0.2">
      <c r="B181" s="5"/>
      <c r="C181" s="10"/>
      <c r="K181" s="5"/>
    </row>
    <row r="182" spans="2:11" x14ac:dyDescent="0.2">
      <c r="B182" s="5"/>
      <c r="C182" s="10"/>
      <c r="K182" s="5"/>
    </row>
    <row r="183" spans="2:11" x14ac:dyDescent="0.2">
      <c r="B183" s="5"/>
      <c r="C183" s="10"/>
      <c r="K183" s="5"/>
    </row>
    <row r="184" spans="2:11" x14ac:dyDescent="0.2">
      <c r="B184" s="5"/>
      <c r="C184" s="10"/>
      <c r="K184" s="5"/>
    </row>
    <row r="185" spans="2:11" x14ac:dyDescent="0.2">
      <c r="B185" s="5"/>
      <c r="C185" s="10"/>
      <c r="K185" s="5"/>
    </row>
    <row r="186" spans="2:11" x14ac:dyDescent="0.2">
      <c r="B186" s="5"/>
      <c r="C186" s="10"/>
      <c r="K186" s="5"/>
    </row>
    <row r="187" spans="2:11" x14ac:dyDescent="0.2">
      <c r="B187" s="5"/>
      <c r="C187" s="10"/>
      <c r="K187" s="5"/>
    </row>
    <row r="188" spans="2:11" x14ac:dyDescent="0.2">
      <c r="B188" s="5"/>
      <c r="C188" s="10"/>
      <c r="K188" s="5"/>
    </row>
    <row r="189" spans="2:11" x14ac:dyDescent="0.2">
      <c r="B189" s="5"/>
      <c r="C189" s="10"/>
      <c r="K189" s="5"/>
    </row>
    <row r="190" spans="2:11" x14ac:dyDescent="0.2">
      <c r="B190" s="5"/>
      <c r="C190" s="10"/>
      <c r="K190" s="5"/>
    </row>
    <row r="191" spans="2:11" x14ac:dyDescent="0.2">
      <c r="B191" s="5"/>
      <c r="C191" s="10"/>
      <c r="K191" s="5"/>
    </row>
    <row r="192" spans="2:11" x14ac:dyDescent="0.2">
      <c r="B192" s="5"/>
      <c r="C192" s="10"/>
      <c r="K192" s="5"/>
    </row>
    <row r="193" spans="2:11" x14ac:dyDescent="0.2">
      <c r="B193" s="5"/>
      <c r="C193" s="10"/>
      <c r="K193" s="5"/>
    </row>
    <row r="194" spans="2:11" x14ac:dyDescent="0.2">
      <c r="B194" s="5"/>
      <c r="C194" s="10"/>
      <c r="K194" s="5"/>
    </row>
    <row r="195" spans="2:11" x14ac:dyDescent="0.2">
      <c r="B195" s="5"/>
      <c r="C195" s="10"/>
      <c r="K195" s="5"/>
    </row>
    <row r="196" spans="2:11" x14ac:dyDescent="0.2">
      <c r="B196" s="5"/>
      <c r="C196" s="10"/>
      <c r="K196" s="5"/>
    </row>
    <row r="197" spans="2:11" x14ac:dyDescent="0.2">
      <c r="B197" s="5"/>
      <c r="C197" s="10"/>
      <c r="K197" s="5"/>
    </row>
    <row r="198" spans="2:11" x14ac:dyDescent="0.2">
      <c r="B198" s="5"/>
      <c r="C198" s="10"/>
      <c r="K198" s="5"/>
    </row>
    <row r="199" spans="2:11" x14ac:dyDescent="0.2">
      <c r="B199" s="5"/>
      <c r="C199" s="10"/>
      <c r="K199" s="5"/>
    </row>
    <row r="200" spans="2:11" x14ac:dyDescent="0.2">
      <c r="B200" s="5"/>
      <c r="C200" s="10"/>
      <c r="K200" s="5"/>
    </row>
    <row r="201" spans="2:11" x14ac:dyDescent="0.2">
      <c r="B201" s="5"/>
      <c r="C201" s="10"/>
      <c r="K201" s="5"/>
    </row>
    <row r="202" spans="2:11" x14ac:dyDescent="0.2">
      <c r="B202" s="5"/>
      <c r="C202" s="10"/>
      <c r="K202" s="5"/>
    </row>
    <row r="203" spans="2:11" x14ac:dyDescent="0.2">
      <c r="B203" s="5"/>
      <c r="C203" s="10"/>
      <c r="K203" s="5"/>
    </row>
    <row r="204" spans="2:11" x14ac:dyDescent="0.2">
      <c r="B204" s="5"/>
      <c r="C204" s="10"/>
      <c r="K204" s="5"/>
    </row>
    <row r="205" spans="2:11" x14ac:dyDescent="0.2">
      <c r="B205" s="5"/>
      <c r="C205" s="10"/>
      <c r="K205" s="5"/>
    </row>
    <row r="206" spans="2:11" x14ac:dyDescent="0.2">
      <c r="B206" s="5"/>
      <c r="C206" s="10"/>
      <c r="K206" s="5"/>
    </row>
    <row r="207" spans="2:11" x14ac:dyDescent="0.2">
      <c r="B207" s="5"/>
      <c r="C207" s="10"/>
      <c r="K207" s="5"/>
    </row>
    <row r="208" spans="2:11" x14ac:dyDescent="0.2">
      <c r="B208" s="5"/>
      <c r="C208" s="10"/>
      <c r="K208" s="5"/>
    </row>
    <row r="209" spans="2:11" x14ac:dyDescent="0.2">
      <c r="B209" s="5"/>
      <c r="C209" s="10"/>
      <c r="K209" s="5"/>
    </row>
    <row r="210" spans="2:11" x14ac:dyDescent="0.2">
      <c r="B210" s="5"/>
      <c r="C210" s="10"/>
      <c r="K210" s="5"/>
    </row>
    <row r="211" spans="2:11" x14ac:dyDescent="0.2">
      <c r="B211" s="5"/>
      <c r="C211" s="10"/>
      <c r="K211" s="5"/>
    </row>
    <row r="212" spans="2:11" x14ac:dyDescent="0.2">
      <c r="B212" s="5"/>
      <c r="C212" s="10"/>
      <c r="K212" s="5"/>
    </row>
    <row r="213" spans="2:11" x14ac:dyDescent="0.2">
      <c r="B213" s="5"/>
      <c r="C213" s="10"/>
      <c r="K213" s="5"/>
    </row>
    <row r="214" spans="2:11" x14ac:dyDescent="0.2">
      <c r="B214" s="5"/>
      <c r="C214" s="10"/>
      <c r="K214" s="5"/>
    </row>
    <row r="215" spans="2:11" x14ac:dyDescent="0.2">
      <c r="B215" s="5"/>
      <c r="C215" s="10"/>
      <c r="K215" s="5"/>
    </row>
    <row r="216" spans="2:11" x14ac:dyDescent="0.2">
      <c r="B216" s="5"/>
      <c r="C216" s="10"/>
      <c r="K216" s="5"/>
    </row>
    <row r="217" spans="2:11" x14ac:dyDescent="0.2">
      <c r="B217" s="5"/>
      <c r="C217" s="10"/>
      <c r="K217" s="5"/>
    </row>
    <row r="218" spans="2:11" x14ac:dyDescent="0.2">
      <c r="B218" s="5"/>
      <c r="C218" s="10"/>
      <c r="K218" s="5"/>
    </row>
    <row r="219" spans="2:11" x14ac:dyDescent="0.2">
      <c r="B219" s="5"/>
      <c r="C219" s="10"/>
      <c r="K219" s="5"/>
    </row>
    <row r="220" spans="2:11" x14ac:dyDescent="0.2">
      <c r="B220" s="5"/>
      <c r="C220" s="10"/>
      <c r="K220" s="5"/>
    </row>
    <row r="221" spans="2:11" x14ac:dyDescent="0.2">
      <c r="B221" s="5"/>
      <c r="C221" s="10"/>
      <c r="K221" s="5"/>
    </row>
    <row r="222" spans="2:11" x14ac:dyDescent="0.2">
      <c r="B222" s="5"/>
      <c r="C222" s="10"/>
      <c r="K222" s="5"/>
    </row>
    <row r="223" spans="2:11" x14ac:dyDescent="0.2">
      <c r="B223" s="5"/>
      <c r="C223" s="10"/>
      <c r="K223" s="5"/>
    </row>
    <row r="224" spans="2:11" x14ac:dyDescent="0.2">
      <c r="B224" s="5"/>
      <c r="C224" s="10"/>
      <c r="K224" s="5"/>
    </row>
    <row r="225" spans="2:11" x14ac:dyDescent="0.2">
      <c r="B225" s="5"/>
      <c r="C225" s="10"/>
      <c r="K225" s="5"/>
    </row>
    <row r="226" spans="2:11" x14ac:dyDescent="0.2">
      <c r="B226" s="5"/>
      <c r="C226" s="10"/>
      <c r="K226" s="5"/>
    </row>
    <row r="227" spans="2:11" x14ac:dyDescent="0.2">
      <c r="B227" s="5"/>
      <c r="C227" s="10"/>
      <c r="K227" s="5"/>
    </row>
    <row r="228" spans="2:11" x14ac:dyDescent="0.2">
      <c r="B228" s="5"/>
      <c r="C228" s="10"/>
      <c r="K228" s="5"/>
    </row>
    <row r="229" spans="2:11" x14ac:dyDescent="0.2">
      <c r="B229" s="5"/>
      <c r="C229" s="10"/>
      <c r="K229" s="5"/>
    </row>
    <row r="230" spans="2:11" x14ac:dyDescent="0.2">
      <c r="B230" s="5"/>
      <c r="C230" s="10"/>
      <c r="K230" s="5"/>
    </row>
    <row r="231" spans="2:11" x14ac:dyDescent="0.2">
      <c r="B231" s="5"/>
      <c r="C231" s="10"/>
      <c r="K231" s="5"/>
    </row>
    <row r="232" spans="2:11" x14ac:dyDescent="0.2">
      <c r="B232" s="5"/>
      <c r="C232" s="10"/>
      <c r="K232" s="5"/>
    </row>
    <row r="233" spans="2:11" x14ac:dyDescent="0.2">
      <c r="B233" s="5"/>
      <c r="C233" s="10"/>
      <c r="K233" s="5"/>
    </row>
    <row r="234" spans="2:11" x14ac:dyDescent="0.2">
      <c r="B234" s="5"/>
      <c r="C234" s="10"/>
      <c r="K234" s="5"/>
    </row>
    <row r="235" spans="2:11" x14ac:dyDescent="0.2">
      <c r="B235" s="5"/>
      <c r="C235" s="10"/>
      <c r="K235" s="5"/>
    </row>
    <row r="236" spans="2:11" x14ac:dyDescent="0.2">
      <c r="B236" s="5"/>
      <c r="C236" s="10"/>
      <c r="K236" s="5"/>
    </row>
    <row r="237" spans="2:11" x14ac:dyDescent="0.2">
      <c r="B237" s="5"/>
      <c r="C237" s="10"/>
      <c r="K237" s="5"/>
    </row>
    <row r="238" spans="2:11" x14ac:dyDescent="0.2">
      <c r="B238" s="5"/>
      <c r="C238" s="10"/>
      <c r="K238" s="5"/>
    </row>
    <row r="239" spans="2:11" x14ac:dyDescent="0.2">
      <c r="B239" s="5"/>
      <c r="C239" s="10"/>
      <c r="K239" s="5"/>
    </row>
    <row r="240" spans="2:11" x14ac:dyDescent="0.2">
      <c r="B240" s="5"/>
      <c r="C240" s="10"/>
      <c r="K240" s="5"/>
    </row>
    <row r="241" spans="2:11" x14ac:dyDescent="0.2">
      <c r="B241" s="5"/>
      <c r="C241" s="10"/>
      <c r="K241" s="5"/>
    </row>
    <row r="242" spans="2:11" x14ac:dyDescent="0.2">
      <c r="B242" s="5"/>
      <c r="C242" s="10"/>
      <c r="K242" s="5"/>
    </row>
    <row r="243" spans="2:11" x14ac:dyDescent="0.2">
      <c r="B243" s="5"/>
      <c r="C243" s="10"/>
      <c r="K243" s="5"/>
    </row>
    <row r="244" spans="2:11" x14ac:dyDescent="0.2">
      <c r="B244" s="5"/>
      <c r="C244" s="10"/>
      <c r="K244" s="5"/>
    </row>
    <row r="245" spans="2:11" x14ac:dyDescent="0.2">
      <c r="B245" s="5"/>
      <c r="C245" s="10"/>
      <c r="K245" s="5"/>
    </row>
    <row r="246" spans="2:11" x14ac:dyDescent="0.2">
      <c r="B246" s="5"/>
      <c r="C246" s="10"/>
      <c r="K246" s="5"/>
    </row>
    <row r="247" spans="2:11" x14ac:dyDescent="0.2">
      <c r="B247" s="5"/>
      <c r="C247" s="10"/>
      <c r="K247" s="5"/>
    </row>
    <row r="248" spans="2:11" x14ac:dyDescent="0.2">
      <c r="B248" s="5"/>
      <c r="C248" s="10"/>
      <c r="K248" s="5"/>
    </row>
    <row r="249" spans="2:11" x14ac:dyDescent="0.2">
      <c r="B249" s="5"/>
      <c r="C249" s="10"/>
      <c r="K249" s="5"/>
    </row>
    <row r="250" spans="2:11" x14ac:dyDescent="0.2">
      <c r="B250" s="5"/>
      <c r="C250" s="10"/>
      <c r="K250" s="5"/>
    </row>
    <row r="251" spans="2:11" x14ac:dyDescent="0.2">
      <c r="B251" s="5"/>
      <c r="C251" s="10"/>
      <c r="K251" s="5"/>
    </row>
    <row r="252" spans="2:11" x14ac:dyDescent="0.2">
      <c r="B252" s="5"/>
      <c r="C252" s="10"/>
      <c r="K252" s="5"/>
    </row>
    <row r="253" spans="2:11" x14ac:dyDescent="0.2">
      <c r="B253" s="5"/>
      <c r="C253" s="10"/>
      <c r="K253" s="5"/>
    </row>
    <row r="254" spans="2:11" x14ac:dyDescent="0.2">
      <c r="B254" s="5"/>
      <c r="C254" s="10"/>
      <c r="K254" s="5"/>
    </row>
    <row r="255" spans="2:11" x14ac:dyDescent="0.2">
      <c r="B255" s="5"/>
      <c r="C255" s="10"/>
      <c r="K255" s="5"/>
    </row>
    <row r="256" spans="2:11" x14ac:dyDescent="0.2">
      <c r="B256" s="5"/>
      <c r="C256" s="10"/>
      <c r="K256" s="5"/>
    </row>
    <row r="257" spans="2:11" x14ac:dyDescent="0.2">
      <c r="B257" s="5"/>
      <c r="C257" s="10"/>
      <c r="K257" s="5"/>
    </row>
    <row r="258" spans="2:11" x14ac:dyDescent="0.2">
      <c r="B258" s="5"/>
      <c r="C258" s="10"/>
      <c r="K258" s="5"/>
    </row>
    <row r="259" spans="2:11" x14ac:dyDescent="0.2">
      <c r="K259" s="5"/>
    </row>
    <row r="260" spans="2:11" x14ac:dyDescent="0.2">
      <c r="K260" s="5"/>
    </row>
  </sheetData>
  <phoneticPr fontId="1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T11"/>
  <sheetViews>
    <sheetView topLeftCell="CZ1" zoomScale="118" zoomScaleNormal="150" workbookViewId="0">
      <selection activeCell="DF6" sqref="DF6"/>
    </sheetView>
  </sheetViews>
  <sheetFormatPr baseColWidth="10" defaultColWidth="9.1640625" defaultRowHeight="11" x14ac:dyDescent="0.15"/>
  <cols>
    <col min="1" max="1" width="5.1640625" style="5" bestFit="1" customWidth="1"/>
    <col min="2" max="2" width="11.5" style="5" customWidth="1"/>
    <col min="3" max="3" width="20.83203125" style="5" bestFit="1" customWidth="1"/>
    <col min="4" max="4" width="6.6640625" style="5" customWidth="1"/>
    <col min="5" max="5" width="5.83203125" style="5" bestFit="1" customWidth="1"/>
    <col min="6" max="7" width="6.1640625" style="5" bestFit="1" customWidth="1"/>
    <col min="8" max="8" width="6" style="5" bestFit="1" customWidth="1"/>
    <col min="9" max="9" width="5.83203125" style="5" bestFit="1" customWidth="1"/>
    <col min="10" max="11" width="6.1640625" style="5" bestFit="1" customWidth="1"/>
    <col min="12" max="12" width="6" style="5" bestFit="1" customWidth="1"/>
    <col min="13" max="13" width="5.83203125" style="5" bestFit="1" customWidth="1"/>
    <col min="14" max="15" width="6.1640625" style="5" bestFit="1" customWidth="1"/>
    <col min="16" max="16" width="6" style="5" bestFit="1" customWidth="1"/>
    <col min="17" max="17" width="5.83203125" style="5" bestFit="1" customWidth="1"/>
    <col min="18" max="19" width="6.1640625" style="5" bestFit="1" customWidth="1"/>
    <col min="20" max="20" width="6" style="5" bestFit="1" customWidth="1"/>
    <col min="21" max="21" width="5.83203125" style="5" bestFit="1" customWidth="1"/>
    <col min="22" max="23" width="6.1640625" style="5" bestFit="1" customWidth="1"/>
    <col min="24" max="24" width="6" style="5" bestFit="1" customWidth="1"/>
    <col min="25" max="25" width="5.83203125" style="5" bestFit="1" customWidth="1"/>
    <col min="26" max="27" width="6.1640625" style="5" bestFit="1" customWidth="1"/>
    <col min="28" max="28" width="6" style="5" bestFit="1" customWidth="1"/>
    <col min="29" max="29" width="5.83203125" style="5" bestFit="1" customWidth="1"/>
    <col min="30" max="31" width="6.1640625" style="5" bestFit="1" customWidth="1"/>
    <col min="32" max="32" width="6" style="5" bestFit="1" customWidth="1"/>
    <col min="33" max="33" width="5.83203125" style="5" bestFit="1" customWidth="1"/>
    <col min="34" max="35" width="6.1640625" style="5" bestFit="1" customWidth="1"/>
    <col min="36" max="36" width="6" style="5" bestFit="1" customWidth="1"/>
    <col min="37" max="37" width="5.83203125" style="5" bestFit="1" customWidth="1"/>
    <col min="38" max="39" width="6.1640625" style="5" bestFit="1" customWidth="1"/>
    <col min="40" max="40" width="6" style="5" bestFit="1" customWidth="1"/>
    <col min="41" max="41" width="5.83203125" style="5" bestFit="1" customWidth="1"/>
    <col min="42" max="43" width="6.1640625" style="5" bestFit="1" customWidth="1"/>
    <col min="44" max="44" width="6" style="5" bestFit="1" customWidth="1"/>
    <col min="45" max="45" width="5.83203125" style="5" bestFit="1" customWidth="1"/>
    <col min="46" max="47" width="6.1640625" style="5" bestFit="1" customWidth="1"/>
    <col min="48" max="48" width="6" style="5" bestFit="1" customWidth="1"/>
    <col min="49" max="49" width="5.83203125" style="5" bestFit="1" customWidth="1"/>
    <col min="50" max="51" width="6.1640625" style="5" bestFit="1" customWidth="1"/>
    <col min="52" max="52" width="6" style="5" bestFit="1" customWidth="1"/>
    <col min="53" max="53" width="5.83203125" style="5" bestFit="1" customWidth="1"/>
    <col min="54" max="59" width="6.1640625" style="5" bestFit="1" customWidth="1"/>
    <col min="60" max="60" width="6" style="5" bestFit="1" customWidth="1"/>
    <col min="61" max="61" width="5.83203125" style="5" bestFit="1" customWidth="1"/>
    <col min="62" max="64" width="6.1640625" style="5" bestFit="1" customWidth="1"/>
    <col min="65" max="65" width="5.83203125" style="5" bestFit="1" customWidth="1"/>
    <col min="66" max="67" width="6.1640625" style="5" bestFit="1" customWidth="1"/>
    <col min="68" max="68" width="6" style="5" bestFit="1" customWidth="1"/>
    <col min="69" max="69" width="5.83203125" style="5" bestFit="1" customWidth="1"/>
    <col min="70" max="72" width="6.1640625" style="5" bestFit="1" customWidth="1"/>
    <col min="73" max="73" width="5.83203125" style="5" bestFit="1" customWidth="1"/>
    <col min="74" max="75" width="6.1640625" style="5" bestFit="1" customWidth="1"/>
    <col min="76" max="108" width="6" style="5" bestFit="1" customWidth="1"/>
    <col min="109" max="109" width="1.83203125" style="5" bestFit="1" customWidth="1"/>
    <col min="110" max="16384" width="9.1640625" style="5"/>
  </cols>
  <sheetData>
    <row r="1" spans="1:150" x14ac:dyDescent="0.15">
      <c r="B1" s="7" t="s">
        <v>5</v>
      </c>
    </row>
    <row r="2" spans="1:150" x14ac:dyDescent="0.15">
      <c r="A2" s="1"/>
      <c r="B2" s="1"/>
      <c r="C2" s="1" t="s">
        <v>0</v>
      </c>
      <c r="D2" s="7" t="s">
        <v>82</v>
      </c>
    </row>
    <row r="3" spans="1:150" x14ac:dyDescent="0.15">
      <c r="A3" s="1" t="s">
        <v>1</v>
      </c>
      <c r="B3" s="1"/>
      <c r="C3" s="1" t="s">
        <v>2</v>
      </c>
      <c r="D3" s="15" t="s">
        <v>83</v>
      </c>
    </row>
    <row r="4" spans="1:150" x14ac:dyDescent="0.15">
      <c r="A4" s="2"/>
      <c r="B4" s="2"/>
      <c r="C4" s="3" t="s">
        <v>96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8" t="s">
        <v>21</v>
      </c>
      <c r="T4" s="8" t="s">
        <v>22</v>
      </c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 t="s">
        <v>34</v>
      </c>
      <c r="AG4" s="8" t="s">
        <v>35</v>
      </c>
      <c r="AH4" s="8" t="s">
        <v>36</v>
      </c>
      <c r="AI4" s="8" t="s">
        <v>37</v>
      </c>
      <c r="AJ4" s="8" t="s">
        <v>38</v>
      </c>
      <c r="AK4" s="8" t="s">
        <v>39</v>
      </c>
      <c r="AL4" s="8" t="s">
        <v>40</v>
      </c>
      <c r="AM4" s="8" t="s">
        <v>41</v>
      </c>
      <c r="AN4" s="8" t="s">
        <v>42</v>
      </c>
      <c r="AO4" s="8" t="s">
        <v>43</v>
      </c>
      <c r="AP4" s="8" t="s">
        <v>44</v>
      </c>
      <c r="AQ4" s="8" t="s">
        <v>45</v>
      </c>
      <c r="AR4" s="8" t="s">
        <v>46</v>
      </c>
      <c r="AS4" s="8" t="s">
        <v>47</v>
      </c>
      <c r="AT4" s="8" t="s">
        <v>48</v>
      </c>
      <c r="AU4" s="8" t="s">
        <v>49</v>
      </c>
      <c r="AV4" s="8" t="s">
        <v>50</v>
      </c>
      <c r="AW4" s="8" t="s">
        <v>51</v>
      </c>
      <c r="AX4" s="8" t="s">
        <v>52</v>
      </c>
      <c r="AY4" s="8" t="s">
        <v>53</v>
      </c>
      <c r="AZ4" s="8" t="s">
        <v>54</v>
      </c>
      <c r="BA4" s="8" t="s">
        <v>55</v>
      </c>
      <c r="BB4" s="8" t="s">
        <v>56</v>
      </c>
      <c r="BC4" s="8" t="s">
        <v>57</v>
      </c>
      <c r="BD4" s="8" t="s">
        <v>58</v>
      </c>
      <c r="BE4" s="8" t="s">
        <v>59</v>
      </c>
      <c r="BF4" s="8" t="s">
        <v>60</v>
      </c>
      <c r="BG4" s="8" t="s">
        <v>61</v>
      </c>
      <c r="BH4" s="8" t="s">
        <v>62</v>
      </c>
      <c r="BI4" s="8" t="s">
        <v>63</v>
      </c>
      <c r="BJ4" s="8" t="s">
        <v>64</v>
      </c>
      <c r="BK4" s="8" t="s">
        <v>65</v>
      </c>
      <c r="BL4" s="8" t="s">
        <v>66</v>
      </c>
      <c r="BM4" s="8" t="s">
        <v>67</v>
      </c>
      <c r="BN4" s="8" t="s">
        <v>68</v>
      </c>
      <c r="BO4" s="8" t="s">
        <v>69</v>
      </c>
      <c r="BP4" s="8" t="s">
        <v>70</v>
      </c>
      <c r="BQ4" s="8" t="s">
        <v>71</v>
      </c>
      <c r="BR4" s="8" t="s">
        <v>72</v>
      </c>
      <c r="BS4" s="8" t="s">
        <v>73</v>
      </c>
      <c r="BT4" s="8" t="s">
        <v>74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79</v>
      </c>
      <c r="BZ4" s="8" t="s">
        <v>80</v>
      </c>
      <c r="CA4" s="8" t="s">
        <v>81</v>
      </c>
      <c r="CB4" s="8" t="s">
        <v>84</v>
      </c>
      <c r="CC4" s="8" t="s">
        <v>85</v>
      </c>
      <c r="CD4" s="8" t="s">
        <v>86</v>
      </c>
      <c r="CE4" s="8" t="s">
        <v>87</v>
      </c>
      <c r="CF4" s="8" t="s">
        <v>88</v>
      </c>
      <c r="CG4" s="8" t="s">
        <v>89</v>
      </c>
      <c r="CH4" s="8" t="s">
        <v>90</v>
      </c>
      <c r="CI4" s="8" t="s">
        <v>91</v>
      </c>
      <c r="CJ4" s="8" t="s">
        <v>92</v>
      </c>
      <c r="CK4" s="8" t="s">
        <v>93</v>
      </c>
      <c r="CL4" s="8" t="s">
        <v>94</v>
      </c>
      <c r="CM4" s="8" t="s">
        <v>95</v>
      </c>
      <c r="CN4" s="8" t="s">
        <v>98</v>
      </c>
      <c r="CO4" s="8" t="s">
        <v>99</v>
      </c>
      <c r="CP4" s="8" t="s">
        <v>100</v>
      </c>
      <c r="CQ4" s="8" t="s">
        <v>101</v>
      </c>
      <c r="CR4" s="8" t="s">
        <v>102</v>
      </c>
      <c r="CS4" s="8" t="s">
        <v>103</v>
      </c>
      <c r="CT4" s="16" t="s">
        <v>105</v>
      </c>
      <c r="CU4" s="8" t="s">
        <v>104</v>
      </c>
      <c r="CV4" s="8" t="s">
        <v>106</v>
      </c>
      <c r="CW4" s="8" t="s">
        <v>107</v>
      </c>
      <c r="CX4" s="8" t="s">
        <v>108</v>
      </c>
      <c r="CY4" s="8" t="s">
        <v>109</v>
      </c>
      <c r="CZ4" s="8" t="s">
        <v>110</v>
      </c>
      <c r="DA4" s="25">
        <v>42522</v>
      </c>
      <c r="DB4" s="25">
        <v>42614</v>
      </c>
      <c r="DC4" s="25">
        <v>42705</v>
      </c>
      <c r="DD4" s="25">
        <v>42795</v>
      </c>
    </row>
    <row r="5" spans="1:150" s="10" customFormat="1" x14ac:dyDescent="0.15">
      <c r="A5" s="4">
        <v>6700</v>
      </c>
      <c r="B5" s="4">
        <v>24</v>
      </c>
      <c r="C5" s="6" t="s">
        <v>4</v>
      </c>
      <c r="D5" s="9">
        <v>176</v>
      </c>
      <c r="E5" s="9">
        <v>175</v>
      </c>
      <c r="F5" s="9">
        <v>180</v>
      </c>
      <c r="G5" s="9">
        <v>185</v>
      </c>
      <c r="H5" s="9">
        <v>182</v>
      </c>
      <c r="I5" s="9">
        <v>185</v>
      </c>
      <c r="J5" s="9">
        <v>187</v>
      </c>
      <c r="K5" s="9">
        <v>195</v>
      </c>
      <c r="L5" s="9">
        <v>192</v>
      </c>
      <c r="M5" s="9">
        <v>195</v>
      </c>
      <c r="N5" s="9">
        <v>201</v>
      </c>
      <c r="O5" s="9">
        <v>198</v>
      </c>
      <c r="P5" s="9">
        <v>200</v>
      </c>
      <c r="Q5" s="9">
        <v>205</v>
      </c>
      <c r="R5" s="9">
        <v>220</v>
      </c>
      <c r="S5" s="9">
        <v>214</v>
      </c>
      <c r="T5" s="9">
        <v>232</v>
      </c>
      <c r="U5" s="9">
        <v>226</v>
      </c>
      <c r="V5" s="9">
        <v>232</v>
      </c>
      <c r="W5" s="9">
        <v>221</v>
      </c>
      <c r="X5" s="9">
        <v>228</v>
      </c>
      <c r="Y5" s="9">
        <v>223</v>
      </c>
      <c r="Z5" s="9">
        <v>223</v>
      </c>
      <c r="AA5" s="9">
        <v>228</v>
      </c>
      <c r="AB5" s="9">
        <v>232</v>
      </c>
      <c r="AC5" s="9">
        <v>243</v>
      </c>
      <c r="AD5" s="9">
        <v>265</v>
      </c>
      <c r="AE5" s="9">
        <v>274</v>
      </c>
      <c r="AF5" s="9">
        <v>276</v>
      </c>
      <c r="AG5" s="9">
        <v>278</v>
      </c>
      <c r="AH5" s="9">
        <v>276</v>
      </c>
      <c r="AI5" s="9">
        <v>280</v>
      </c>
      <c r="AJ5" s="9">
        <v>309</v>
      </c>
      <c r="AK5" s="9">
        <v>316</v>
      </c>
      <c r="AL5" s="9">
        <v>315</v>
      </c>
      <c r="AM5" s="9">
        <v>323</v>
      </c>
      <c r="AN5" s="9">
        <v>328</v>
      </c>
      <c r="AO5" s="9">
        <v>356</v>
      </c>
      <c r="AP5" s="9">
        <v>333</v>
      </c>
      <c r="AQ5" s="9">
        <v>340</v>
      </c>
      <c r="AR5" s="9">
        <v>350</v>
      </c>
      <c r="AS5" s="9">
        <v>374</v>
      </c>
      <c r="AT5" s="9">
        <v>385</v>
      </c>
      <c r="AU5" s="9">
        <v>384</v>
      </c>
      <c r="AV5" s="9">
        <v>410</v>
      </c>
      <c r="AW5" s="9">
        <v>460</v>
      </c>
      <c r="AX5" s="9">
        <v>481</v>
      </c>
      <c r="AY5" s="9">
        <v>465</v>
      </c>
      <c r="AZ5" s="9">
        <v>440</v>
      </c>
      <c r="BA5" s="9">
        <v>474</v>
      </c>
      <c r="BB5" s="9">
        <v>514</v>
      </c>
      <c r="BC5" s="9">
        <v>525</v>
      </c>
      <c r="BD5" s="9">
        <v>551</v>
      </c>
      <c r="BE5" s="9">
        <v>450</v>
      </c>
      <c r="BF5" s="9">
        <v>492</v>
      </c>
      <c r="BG5" s="9">
        <v>490</v>
      </c>
      <c r="BH5" s="9">
        <v>501</v>
      </c>
      <c r="BI5" s="9">
        <v>495</v>
      </c>
      <c r="BJ5" s="9">
        <v>480</v>
      </c>
      <c r="BK5" s="9">
        <v>510</v>
      </c>
      <c r="BL5" s="9">
        <v>515</v>
      </c>
      <c r="BM5" s="9">
        <v>520</v>
      </c>
      <c r="BN5" s="9">
        <v>469</v>
      </c>
      <c r="BO5" s="9">
        <v>545</v>
      </c>
      <c r="BP5" s="9">
        <v>475</v>
      </c>
      <c r="BQ5" s="9">
        <v>501</v>
      </c>
      <c r="BR5" s="9">
        <v>523</v>
      </c>
      <c r="BS5" s="9">
        <v>490</v>
      </c>
      <c r="BT5" s="9">
        <v>465</v>
      </c>
      <c r="BU5" s="9">
        <v>520</v>
      </c>
      <c r="BV5" s="9">
        <v>500</v>
      </c>
      <c r="BW5" s="9">
        <v>468</v>
      </c>
      <c r="BX5" s="9">
        <v>484</v>
      </c>
      <c r="BY5" s="9">
        <v>508</v>
      </c>
      <c r="BZ5" s="9">
        <v>514</v>
      </c>
      <c r="CA5" s="9">
        <v>580</v>
      </c>
      <c r="CB5" s="9">
        <v>571</v>
      </c>
      <c r="CC5" s="9">
        <v>665</v>
      </c>
      <c r="CD5" s="9">
        <v>590</v>
      </c>
      <c r="CE5" s="9">
        <v>655</v>
      </c>
      <c r="CF5" s="9">
        <v>600</v>
      </c>
      <c r="CG5" s="9">
        <v>672</v>
      </c>
      <c r="CH5" s="9">
        <v>600</v>
      </c>
      <c r="CI5" s="9">
        <v>539</v>
      </c>
      <c r="CJ5" s="9">
        <v>570</v>
      </c>
      <c r="CK5" s="9">
        <v>595</v>
      </c>
      <c r="CL5" s="9">
        <v>634</v>
      </c>
      <c r="CM5" s="9">
        <v>720</v>
      </c>
      <c r="CN5" s="9">
        <v>645</v>
      </c>
      <c r="CO5" s="9">
        <v>697</v>
      </c>
      <c r="CP5" s="9">
        <v>650</v>
      </c>
      <c r="CQ5" s="9">
        <v>650</v>
      </c>
      <c r="CR5" s="9">
        <v>698</v>
      </c>
      <c r="CS5" s="9">
        <v>718</v>
      </c>
      <c r="CT5" s="9">
        <v>730</v>
      </c>
      <c r="CU5" s="9">
        <v>840</v>
      </c>
      <c r="CV5" s="9">
        <v>743</v>
      </c>
      <c r="CW5" s="9">
        <v>870</v>
      </c>
      <c r="CX5" s="9">
        <v>900</v>
      </c>
      <c r="CY5" s="9">
        <v>880</v>
      </c>
      <c r="CZ5" s="9">
        <v>875</v>
      </c>
      <c r="DA5" s="9">
        <v>1043</v>
      </c>
      <c r="DB5" s="9">
        <v>895</v>
      </c>
      <c r="DC5" s="9">
        <v>1002</v>
      </c>
      <c r="DD5" s="9">
        <v>870</v>
      </c>
      <c r="DE5" s="9" t="s">
        <v>123</v>
      </c>
      <c r="DF5" s="14">
        <f>((DD5/D5)^(1/27)-1)*103</f>
        <v>6.2801222787369637</v>
      </c>
      <c r="DG5" s="14"/>
      <c r="DH5" s="13"/>
      <c r="DI5" s="26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</row>
    <row r="11" spans="1:150" x14ac:dyDescent="0.15">
      <c r="DF11" s="5" t="s">
        <v>200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11"/>
  <sheetViews>
    <sheetView topLeftCell="A97" zoomScale="144" workbookViewId="0">
      <selection activeCell="C110" sqref="C110"/>
    </sheetView>
  </sheetViews>
  <sheetFormatPr baseColWidth="10" defaultRowHeight="15" x14ac:dyDescent="0.2"/>
  <cols>
    <col min="8" max="8" width="10.83203125" style="44"/>
  </cols>
  <sheetData>
    <row r="3" spans="2:8" x14ac:dyDescent="0.2">
      <c r="B3" s="2"/>
      <c r="C3" s="4">
        <v>6700</v>
      </c>
    </row>
    <row r="4" spans="2:8" x14ac:dyDescent="0.2">
      <c r="B4" s="2"/>
      <c r="C4" s="4">
        <v>24</v>
      </c>
    </row>
    <row r="5" spans="2:8" x14ac:dyDescent="0.2">
      <c r="B5" s="3" t="s">
        <v>96</v>
      </c>
      <c r="C5" s="6" t="s">
        <v>4</v>
      </c>
      <c r="D5" s="6" t="s">
        <v>167</v>
      </c>
      <c r="E5" s="6" t="s">
        <v>172</v>
      </c>
      <c r="G5" s="3" t="s">
        <v>96</v>
      </c>
      <c r="H5" s="44" t="s">
        <v>172</v>
      </c>
    </row>
    <row r="6" spans="2:8" x14ac:dyDescent="0.2">
      <c r="B6" s="16">
        <v>33298</v>
      </c>
      <c r="C6" s="9">
        <v>177</v>
      </c>
      <c r="D6" s="37">
        <v>57.1</v>
      </c>
      <c r="E6" s="45">
        <f t="shared" ref="E6:E69" si="0">C6*($D$111/D6)</f>
        <v>373.83887915936953</v>
      </c>
      <c r="G6" s="16">
        <v>33298</v>
      </c>
      <c r="H6" s="45">
        <v>373.83887915936953</v>
      </c>
    </row>
    <row r="7" spans="2:8" x14ac:dyDescent="0.2">
      <c r="B7" s="16">
        <v>33390</v>
      </c>
      <c r="C7" s="9">
        <v>175</v>
      </c>
      <c r="D7" s="37">
        <v>57.2</v>
      </c>
      <c r="E7" s="45">
        <f>C7*($D$111/D7)</f>
        <v>368.96853146853147</v>
      </c>
      <c r="G7" s="16">
        <v>33390</v>
      </c>
      <c r="H7" s="45">
        <v>368.96853146853147</v>
      </c>
    </row>
    <row r="8" spans="2:8" x14ac:dyDescent="0.2">
      <c r="B8" s="16">
        <v>33482</v>
      </c>
      <c r="C8" s="9">
        <v>180</v>
      </c>
      <c r="D8" s="37">
        <v>56.1</v>
      </c>
      <c r="E8" s="45">
        <f t="shared" si="0"/>
        <v>386.95187165775394</v>
      </c>
      <c r="G8" s="16">
        <v>33482</v>
      </c>
      <c r="H8" s="45">
        <v>386.95187165775394</v>
      </c>
    </row>
    <row r="9" spans="2:8" x14ac:dyDescent="0.2">
      <c r="B9" s="16">
        <v>33573</v>
      </c>
      <c r="C9" s="9">
        <v>200</v>
      </c>
      <c r="D9" s="37">
        <v>55.9</v>
      </c>
      <c r="E9" s="45">
        <f t="shared" si="0"/>
        <v>431.48479427549199</v>
      </c>
      <c r="G9" s="16">
        <v>33573</v>
      </c>
      <c r="H9" s="45">
        <v>431.48479427549199</v>
      </c>
    </row>
    <row r="10" spans="2:8" x14ac:dyDescent="0.2">
      <c r="B10" s="16">
        <v>33664</v>
      </c>
      <c r="C10" s="9">
        <v>219</v>
      </c>
      <c r="D10" s="37">
        <v>54.8</v>
      </c>
      <c r="E10" s="45">
        <f t="shared" si="0"/>
        <v>481.95985401459853</v>
      </c>
      <c r="G10" s="16">
        <v>33664</v>
      </c>
      <c r="H10" s="45">
        <v>481.95985401459853</v>
      </c>
    </row>
    <row r="11" spans="2:8" x14ac:dyDescent="0.2">
      <c r="B11" s="16">
        <v>33756</v>
      </c>
      <c r="C11" s="9">
        <v>220</v>
      </c>
      <c r="D11" s="37">
        <v>54</v>
      </c>
      <c r="E11" s="45">
        <f t="shared" si="0"/>
        <v>491.33333333333337</v>
      </c>
      <c r="G11" s="16">
        <v>33756</v>
      </c>
      <c r="H11" s="45">
        <v>491.33333333333337</v>
      </c>
    </row>
    <row r="12" spans="2:8" x14ac:dyDescent="0.2">
      <c r="B12" s="16">
        <v>33848</v>
      </c>
      <c r="C12" s="9">
        <v>210</v>
      </c>
      <c r="D12" s="37">
        <v>53.3</v>
      </c>
      <c r="E12" s="45">
        <f t="shared" si="0"/>
        <v>475.15947467166978</v>
      </c>
      <c r="G12" s="16">
        <v>33848</v>
      </c>
      <c r="H12" s="45">
        <v>475.15947467166978</v>
      </c>
    </row>
    <row r="13" spans="2:8" x14ac:dyDescent="0.2">
      <c r="B13" s="16">
        <v>33939</v>
      </c>
      <c r="C13" s="9">
        <v>233</v>
      </c>
      <c r="D13" s="37">
        <v>53</v>
      </c>
      <c r="E13" s="45">
        <f t="shared" si="0"/>
        <v>530.18490566037724</v>
      </c>
      <c r="G13" s="16">
        <v>33939</v>
      </c>
      <c r="H13" s="45">
        <v>530.18490566037724</v>
      </c>
    </row>
    <row r="14" spans="2:8" x14ac:dyDescent="0.2">
      <c r="B14" s="16">
        <v>34029</v>
      </c>
      <c r="C14" s="9">
        <v>230</v>
      </c>
      <c r="D14" s="37">
        <v>53.3</v>
      </c>
      <c r="E14" s="45">
        <f t="shared" si="0"/>
        <v>520.41275797373351</v>
      </c>
      <c r="G14" s="16">
        <v>34029</v>
      </c>
      <c r="H14" s="45">
        <v>520.41275797373351</v>
      </c>
    </row>
    <row r="15" spans="2:8" x14ac:dyDescent="0.2">
      <c r="B15" s="16">
        <v>34121</v>
      </c>
      <c r="C15" s="9">
        <v>235</v>
      </c>
      <c r="D15" s="37">
        <v>53.7</v>
      </c>
      <c r="E15" s="45">
        <f t="shared" si="0"/>
        <v>527.76536312849157</v>
      </c>
      <c r="G15" s="16">
        <v>34121</v>
      </c>
      <c r="H15" s="45">
        <v>527.76536312849157</v>
      </c>
    </row>
    <row r="16" spans="2:8" x14ac:dyDescent="0.2">
      <c r="B16" s="16">
        <v>34213</v>
      </c>
      <c r="C16" s="9">
        <v>232</v>
      </c>
      <c r="D16" s="37">
        <v>53.7</v>
      </c>
      <c r="E16" s="45">
        <f t="shared" si="0"/>
        <v>521.02793296089385</v>
      </c>
      <c r="G16" s="16">
        <v>34213</v>
      </c>
      <c r="H16" s="45">
        <v>521.02793296089385</v>
      </c>
    </row>
    <row r="17" spans="2:8" x14ac:dyDescent="0.2">
      <c r="B17" s="16">
        <v>34304</v>
      </c>
      <c r="C17" s="9">
        <v>238</v>
      </c>
      <c r="D17" s="37">
        <v>52.8</v>
      </c>
      <c r="E17" s="45">
        <f t="shared" si="0"/>
        <v>543.61363636363637</v>
      </c>
      <c r="G17" s="16">
        <v>34304</v>
      </c>
      <c r="H17" s="45">
        <v>543.61363636363637</v>
      </c>
    </row>
    <row r="18" spans="2:8" x14ac:dyDescent="0.2">
      <c r="B18" s="16">
        <v>34394</v>
      </c>
      <c r="C18" s="9">
        <v>238</v>
      </c>
      <c r="D18" s="37">
        <v>52.9</v>
      </c>
      <c r="E18" s="45">
        <f t="shared" si="0"/>
        <v>542.58601134215496</v>
      </c>
      <c r="G18" s="16">
        <v>34394</v>
      </c>
      <c r="H18" s="45">
        <v>542.58601134215496</v>
      </c>
    </row>
    <row r="19" spans="2:8" x14ac:dyDescent="0.2">
      <c r="B19" s="16">
        <v>34486</v>
      </c>
      <c r="C19" s="9">
        <v>250</v>
      </c>
      <c r="D19" s="37">
        <v>53.5</v>
      </c>
      <c r="E19" s="45">
        <f t="shared" si="0"/>
        <v>563.55140186915889</v>
      </c>
      <c r="G19" s="16">
        <v>34486</v>
      </c>
      <c r="H19" s="45">
        <v>563.55140186915889</v>
      </c>
    </row>
    <row r="20" spans="2:8" x14ac:dyDescent="0.2">
      <c r="B20" s="16">
        <v>34578</v>
      </c>
      <c r="C20" s="9">
        <v>268</v>
      </c>
      <c r="D20" s="37">
        <v>54</v>
      </c>
      <c r="E20" s="45">
        <f t="shared" si="0"/>
        <v>598.5333333333333</v>
      </c>
      <c r="G20" s="16">
        <v>34578</v>
      </c>
      <c r="H20" s="45">
        <v>598.5333333333333</v>
      </c>
    </row>
    <row r="21" spans="2:8" x14ac:dyDescent="0.2">
      <c r="B21" s="16">
        <v>34669</v>
      </c>
      <c r="C21" s="9">
        <v>268</v>
      </c>
      <c r="D21" s="37">
        <v>55.3</v>
      </c>
      <c r="E21" s="45">
        <f t="shared" si="0"/>
        <v>584.46292947558777</v>
      </c>
      <c r="G21" s="16">
        <v>34669</v>
      </c>
      <c r="H21" s="45">
        <v>584.46292947558777</v>
      </c>
    </row>
    <row r="22" spans="2:8" x14ac:dyDescent="0.2">
      <c r="B22" s="16">
        <v>34759</v>
      </c>
      <c r="C22" s="9">
        <v>263</v>
      </c>
      <c r="D22" s="37">
        <v>58.3</v>
      </c>
      <c r="E22" s="45">
        <f t="shared" si="0"/>
        <v>544.04459691252146</v>
      </c>
      <c r="G22" s="16">
        <v>34759</v>
      </c>
      <c r="H22" s="45">
        <v>544.04459691252146</v>
      </c>
    </row>
    <row r="23" spans="2:8" x14ac:dyDescent="0.2">
      <c r="B23" s="16">
        <v>34851</v>
      </c>
      <c r="C23" s="9">
        <v>270</v>
      </c>
      <c r="D23" s="37">
        <v>59.5</v>
      </c>
      <c r="E23" s="45">
        <f t="shared" si="0"/>
        <v>547.26050420168065</v>
      </c>
      <c r="G23" s="16">
        <v>34851</v>
      </c>
      <c r="H23" s="45">
        <v>547.26050420168065</v>
      </c>
    </row>
    <row r="24" spans="2:8" x14ac:dyDescent="0.2">
      <c r="B24" s="16">
        <v>34943</v>
      </c>
      <c r="C24" s="9">
        <v>265</v>
      </c>
      <c r="D24" s="37">
        <v>60</v>
      </c>
      <c r="E24" s="45">
        <f t="shared" si="0"/>
        <v>532.65</v>
      </c>
      <c r="G24" s="16">
        <v>34943</v>
      </c>
      <c r="H24" s="45">
        <v>532.65</v>
      </c>
    </row>
    <row r="25" spans="2:8" x14ac:dyDescent="0.2">
      <c r="B25" s="16">
        <v>35034</v>
      </c>
      <c r="C25" s="9">
        <v>254</v>
      </c>
      <c r="D25" s="37">
        <v>60.5</v>
      </c>
      <c r="E25" s="45">
        <f t="shared" si="0"/>
        <v>506.3206611570248</v>
      </c>
      <c r="G25" s="16">
        <v>35034</v>
      </c>
      <c r="H25" s="45">
        <v>506.3206611570248</v>
      </c>
    </row>
    <row r="26" spans="2:8" x14ac:dyDescent="0.2">
      <c r="B26" s="16">
        <v>35125</v>
      </c>
      <c r="C26" s="9">
        <v>258</v>
      </c>
      <c r="D26" s="37">
        <v>61</v>
      </c>
      <c r="E26" s="45">
        <f t="shared" si="0"/>
        <v>510.07868852459012</v>
      </c>
      <c r="G26" s="16">
        <v>35125</v>
      </c>
      <c r="H26" s="45">
        <v>510.07868852459012</v>
      </c>
    </row>
    <row r="27" spans="2:8" x14ac:dyDescent="0.2">
      <c r="B27" s="16">
        <v>35217</v>
      </c>
      <c r="C27" s="9">
        <v>257</v>
      </c>
      <c r="D27" s="37">
        <v>61.4</v>
      </c>
      <c r="E27" s="45">
        <f t="shared" si="0"/>
        <v>504.79153094462538</v>
      </c>
      <c r="G27" s="16">
        <v>35217</v>
      </c>
      <c r="H27" s="45">
        <v>504.79153094462538</v>
      </c>
    </row>
    <row r="28" spans="2:8" x14ac:dyDescent="0.2">
      <c r="B28" s="16">
        <v>35309</v>
      </c>
      <c r="C28" s="9">
        <v>265</v>
      </c>
      <c r="D28" s="37">
        <v>61.6</v>
      </c>
      <c r="E28" s="45">
        <f t="shared" si="0"/>
        <v>518.81493506493507</v>
      </c>
      <c r="G28" s="16">
        <v>35309</v>
      </c>
      <c r="H28" s="45">
        <v>518.81493506493507</v>
      </c>
    </row>
    <row r="29" spans="2:8" x14ac:dyDescent="0.2">
      <c r="B29" s="16">
        <v>35400</v>
      </c>
      <c r="C29" s="9">
        <v>270</v>
      </c>
      <c r="D29" s="37">
        <v>60.1</v>
      </c>
      <c r="E29" s="45">
        <f t="shared" si="0"/>
        <v>541.79700499168052</v>
      </c>
      <c r="G29" s="16">
        <v>35400</v>
      </c>
      <c r="H29" s="45">
        <v>541.79700499168052</v>
      </c>
    </row>
    <row r="30" spans="2:8" x14ac:dyDescent="0.2">
      <c r="B30" s="16">
        <v>35490</v>
      </c>
      <c r="C30" s="9">
        <v>285</v>
      </c>
      <c r="D30" s="37">
        <v>58.6</v>
      </c>
      <c r="E30" s="45">
        <f t="shared" si="0"/>
        <v>586.53583617747438</v>
      </c>
      <c r="G30" s="16">
        <v>35490</v>
      </c>
      <c r="H30" s="45">
        <v>586.53583617747438</v>
      </c>
    </row>
    <row r="31" spans="2:8" x14ac:dyDescent="0.2">
      <c r="B31" s="16">
        <v>35582</v>
      </c>
      <c r="C31" s="9">
        <v>300</v>
      </c>
      <c r="D31" s="37">
        <v>56.8</v>
      </c>
      <c r="E31" s="45">
        <f t="shared" si="0"/>
        <v>636.97183098591552</v>
      </c>
      <c r="G31" s="16">
        <v>35582</v>
      </c>
      <c r="H31" s="45">
        <v>636.97183098591552</v>
      </c>
    </row>
    <row r="32" spans="2:8" x14ac:dyDescent="0.2">
      <c r="B32" s="16">
        <v>35674</v>
      </c>
      <c r="C32" s="9">
        <v>320</v>
      </c>
      <c r="D32" s="37">
        <v>56.6</v>
      </c>
      <c r="E32" s="45">
        <f t="shared" si="0"/>
        <v>681.83745583038876</v>
      </c>
      <c r="G32" s="16">
        <v>35674</v>
      </c>
      <c r="H32" s="45">
        <v>681.83745583038876</v>
      </c>
    </row>
    <row r="33" spans="2:8" x14ac:dyDescent="0.2">
      <c r="B33" s="16">
        <v>35765</v>
      </c>
      <c r="C33" s="9">
        <v>327</v>
      </c>
      <c r="D33" s="37">
        <v>55.9</v>
      </c>
      <c r="E33" s="45">
        <f t="shared" si="0"/>
        <v>705.4776386404294</v>
      </c>
      <c r="G33" s="16">
        <v>35765</v>
      </c>
      <c r="H33" s="45">
        <v>705.4776386404294</v>
      </c>
    </row>
    <row r="34" spans="2:8" x14ac:dyDescent="0.2">
      <c r="B34" s="16">
        <v>35855</v>
      </c>
      <c r="C34" s="9">
        <v>338</v>
      </c>
      <c r="D34" s="37">
        <v>56</v>
      </c>
      <c r="E34" s="45">
        <f t="shared" si="0"/>
        <v>727.90714285714284</v>
      </c>
      <c r="G34" s="16">
        <v>35855</v>
      </c>
      <c r="H34" s="45">
        <v>727.90714285714284</v>
      </c>
    </row>
    <row r="35" spans="2:8" x14ac:dyDescent="0.2">
      <c r="B35" s="16">
        <v>35947</v>
      </c>
      <c r="C35" s="9">
        <v>341</v>
      </c>
      <c r="D35" s="37">
        <v>56.6</v>
      </c>
      <c r="E35" s="45">
        <f t="shared" si="0"/>
        <v>726.58303886925796</v>
      </c>
      <c r="G35" s="16">
        <v>35947</v>
      </c>
      <c r="H35" s="45">
        <v>726.58303886925796</v>
      </c>
    </row>
    <row r="36" spans="2:8" x14ac:dyDescent="0.2">
      <c r="B36" s="16">
        <v>36039</v>
      </c>
      <c r="C36" s="9">
        <v>339</v>
      </c>
      <c r="D36" s="37">
        <v>57.2</v>
      </c>
      <c r="E36" s="45">
        <f t="shared" si="0"/>
        <v>714.7447552447552</v>
      </c>
      <c r="G36" s="16">
        <v>36039</v>
      </c>
      <c r="H36" s="45">
        <v>714.7447552447552</v>
      </c>
    </row>
    <row r="37" spans="2:8" x14ac:dyDescent="0.2">
      <c r="B37" s="16">
        <v>36130</v>
      </c>
      <c r="C37" s="9">
        <v>350</v>
      </c>
      <c r="D37" s="37">
        <v>57.3</v>
      </c>
      <c r="E37" s="45">
        <f t="shared" si="0"/>
        <v>736.64921465968587</v>
      </c>
      <c r="G37" s="16">
        <v>36130</v>
      </c>
      <c r="H37" s="45">
        <v>736.64921465968587</v>
      </c>
    </row>
    <row r="38" spans="2:8" x14ac:dyDescent="0.2">
      <c r="B38" s="16">
        <v>36220</v>
      </c>
      <c r="C38" s="9">
        <v>360</v>
      </c>
      <c r="D38" s="37">
        <v>58</v>
      </c>
      <c r="E38" s="45">
        <f t="shared" si="0"/>
        <v>748.55172413793093</v>
      </c>
      <c r="G38" s="16">
        <v>36220</v>
      </c>
      <c r="H38" s="45">
        <v>748.55172413793093</v>
      </c>
    </row>
    <row r="39" spans="2:8" x14ac:dyDescent="0.2">
      <c r="B39" s="16">
        <v>36312</v>
      </c>
      <c r="C39" s="9">
        <v>375</v>
      </c>
      <c r="D39" s="37">
        <v>58.2</v>
      </c>
      <c r="E39" s="45">
        <f t="shared" si="0"/>
        <v>777.061855670103</v>
      </c>
      <c r="G39" s="16">
        <v>36312</v>
      </c>
      <c r="H39" s="45">
        <v>777.061855670103</v>
      </c>
    </row>
    <row r="40" spans="2:8" x14ac:dyDescent="0.2">
      <c r="B40" s="16">
        <v>36404</v>
      </c>
      <c r="C40" s="9">
        <v>380</v>
      </c>
      <c r="D40" s="37">
        <v>59.1</v>
      </c>
      <c r="E40" s="45">
        <f t="shared" si="0"/>
        <v>775.4314720812182</v>
      </c>
      <c r="G40" s="16">
        <v>36404</v>
      </c>
      <c r="H40" s="45">
        <v>775.4314720812182</v>
      </c>
    </row>
    <row r="41" spans="2:8" x14ac:dyDescent="0.2">
      <c r="B41" s="16">
        <v>36495</v>
      </c>
      <c r="C41" s="9">
        <v>385</v>
      </c>
      <c r="D41" s="37">
        <v>59.9</v>
      </c>
      <c r="E41" s="45">
        <f t="shared" si="0"/>
        <v>775.14190317195323</v>
      </c>
      <c r="G41" s="16">
        <v>36495</v>
      </c>
      <c r="H41" s="45">
        <v>775.14190317195323</v>
      </c>
    </row>
    <row r="42" spans="2:8" x14ac:dyDescent="0.2">
      <c r="B42" s="16">
        <v>36586</v>
      </c>
      <c r="C42" s="9">
        <v>390</v>
      </c>
      <c r="D42" s="37">
        <v>60.6</v>
      </c>
      <c r="E42" s="45">
        <f t="shared" si="0"/>
        <v>776.13861386138603</v>
      </c>
      <c r="G42" s="16">
        <v>36586</v>
      </c>
      <c r="H42" s="45">
        <v>776.13861386138603</v>
      </c>
    </row>
    <row r="43" spans="2:8" x14ac:dyDescent="0.2">
      <c r="B43" s="16">
        <v>36678</v>
      </c>
      <c r="C43" s="9">
        <v>415</v>
      </c>
      <c r="D43" s="37">
        <v>61.2</v>
      </c>
      <c r="E43" s="45">
        <f t="shared" si="0"/>
        <v>817.79411764705878</v>
      </c>
      <c r="G43" s="16">
        <v>36678</v>
      </c>
      <c r="H43" s="45">
        <v>817.79411764705878</v>
      </c>
    </row>
    <row r="44" spans="2:8" x14ac:dyDescent="0.2">
      <c r="B44" s="16">
        <v>36770</v>
      </c>
      <c r="C44" s="9">
        <v>390</v>
      </c>
      <c r="D44" s="37">
        <v>64.7</v>
      </c>
      <c r="E44" s="45">
        <f t="shared" si="0"/>
        <v>726.95517774343114</v>
      </c>
      <c r="G44" s="16">
        <v>36770</v>
      </c>
      <c r="H44" s="45">
        <v>726.95517774343114</v>
      </c>
    </row>
    <row r="45" spans="2:8" x14ac:dyDescent="0.2">
      <c r="B45" s="16">
        <v>36861</v>
      </c>
      <c r="C45" s="9">
        <v>407</v>
      </c>
      <c r="D45" s="37">
        <v>64.8</v>
      </c>
      <c r="E45" s="45">
        <f t="shared" si="0"/>
        <v>757.47222222222229</v>
      </c>
      <c r="G45" s="16">
        <v>36861</v>
      </c>
      <c r="H45" s="45">
        <v>757.47222222222229</v>
      </c>
    </row>
    <row r="46" spans="2:8" x14ac:dyDescent="0.2">
      <c r="B46" s="16">
        <v>36951</v>
      </c>
      <c r="C46" s="9">
        <v>410</v>
      </c>
      <c r="D46" s="37">
        <v>65</v>
      </c>
      <c r="E46" s="45">
        <f t="shared" si="0"/>
        <v>760.70769230769224</v>
      </c>
      <c r="G46" s="16">
        <v>36951</v>
      </c>
      <c r="H46" s="45">
        <v>760.70769230769224</v>
      </c>
    </row>
    <row r="47" spans="2:8" x14ac:dyDescent="0.2">
      <c r="B47" s="16">
        <v>37043</v>
      </c>
      <c r="C47" s="9">
        <v>455</v>
      </c>
      <c r="D47" s="37">
        <v>65.400000000000006</v>
      </c>
      <c r="E47" s="45">
        <f t="shared" si="0"/>
        <v>839.03669724770634</v>
      </c>
      <c r="G47" s="16">
        <v>37043</v>
      </c>
      <c r="H47" s="45">
        <v>839.03669724770634</v>
      </c>
    </row>
    <row r="48" spans="2:8" x14ac:dyDescent="0.2">
      <c r="B48" s="16">
        <v>37135</v>
      </c>
      <c r="C48" s="9">
        <v>482</v>
      </c>
      <c r="D48" s="37">
        <v>66</v>
      </c>
      <c r="E48" s="45">
        <f t="shared" si="0"/>
        <v>880.74545454545444</v>
      </c>
      <c r="G48" s="16">
        <v>37135</v>
      </c>
      <c r="H48" s="45">
        <v>880.74545454545444</v>
      </c>
    </row>
    <row r="49" spans="2:8" x14ac:dyDescent="0.2">
      <c r="B49" s="16">
        <v>37226</v>
      </c>
      <c r="C49" s="9">
        <v>500</v>
      </c>
      <c r="D49" s="37">
        <v>66.400000000000006</v>
      </c>
      <c r="E49" s="45">
        <f t="shared" si="0"/>
        <v>908.13253012048176</v>
      </c>
      <c r="G49" s="16">
        <v>37226</v>
      </c>
      <c r="H49" s="45">
        <v>908.13253012048176</v>
      </c>
    </row>
    <row r="50" spans="2:8" x14ac:dyDescent="0.2">
      <c r="B50" s="16">
        <v>37316</v>
      </c>
      <c r="C50" s="9">
        <v>520</v>
      </c>
      <c r="D50" s="37">
        <v>66.7</v>
      </c>
      <c r="E50" s="45">
        <f t="shared" si="0"/>
        <v>940.20989505247371</v>
      </c>
      <c r="G50" s="16">
        <v>37316</v>
      </c>
      <c r="H50" s="45">
        <v>940.20989505247371</v>
      </c>
    </row>
    <row r="51" spans="2:8" x14ac:dyDescent="0.2">
      <c r="B51" s="16">
        <v>37408</v>
      </c>
      <c r="C51" s="9">
        <v>582</v>
      </c>
      <c r="D51" s="37">
        <v>67.2</v>
      </c>
      <c r="E51" s="45">
        <f t="shared" si="0"/>
        <v>1044.4821428571427</v>
      </c>
      <c r="G51" s="16">
        <v>37408</v>
      </c>
      <c r="H51" s="45">
        <v>1044.4821428571427</v>
      </c>
    </row>
    <row r="52" spans="2:8" x14ac:dyDescent="0.2">
      <c r="B52" s="16">
        <v>37500</v>
      </c>
      <c r="C52" s="9">
        <v>600</v>
      </c>
      <c r="D52" s="37">
        <v>67.900000000000006</v>
      </c>
      <c r="E52" s="45">
        <f t="shared" si="0"/>
        <v>1065.684830633284</v>
      </c>
      <c r="G52" s="16">
        <v>37500</v>
      </c>
      <c r="H52" s="45">
        <v>1065.684830633284</v>
      </c>
    </row>
    <row r="53" spans="2:8" x14ac:dyDescent="0.2">
      <c r="B53" s="16">
        <v>37591</v>
      </c>
      <c r="C53" s="9">
        <v>610</v>
      </c>
      <c r="D53" s="37">
        <v>68.099999999999994</v>
      </c>
      <c r="E53" s="45">
        <f t="shared" si="0"/>
        <v>1080.2643171806167</v>
      </c>
      <c r="G53" s="16">
        <v>37591</v>
      </c>
      <c r="H53" s="45">
        <v>1080.2643171806167</v>
      </c>
    </row>
    <row r="54" spans="2:8" x14ac:dyDescent="0.2">
      <c r="B54" s="16">
        <v>37681</v>
      </c>
      <c r="C54" s="9">
        <v>616</v>
      </c>
      <c r="D54" s="37">
        <v>68.400000000000006</v>
      </c>
      <c r="E54" s="45">
        <f t="shared" si="0"/>
        <v>1086.1052631578946</v>
      </c>
      <c r="G54" s="16">
        <v>37681</v>
      </c>
      <c r="H54" s="45">
        <v>1086.1052631578946</v>
      </c>
    </row>
    <row r="55" spans="2:8" x14ac:dyDescent="0.2">
      <c r="B55" s="16">
        <v>37773</v>
      </c>
      <c r="C55" s="9">
        <v>630</v>
      </c>
      <c r="D55" s="37">
        <v>68.900000000000006</v>
      </c>
      <c r="E55" s="45">
        <f t="shared" si="0"/>
        <v>1102.7285921625542</v>
      </c>
      <c r="G55" s="16">
        <v>37773</v>
      </c>
      <c r="H55" s="45">
        <v>1102.7285921625542</v>
      </c>
    </row>
    <row r="56" spans="2:8" x14ac:dyDescent="0.2">
      <c r="B56" s="16">
        <v>37865</v>
      </c>
      <c r="C56" s="9">
        <v>685</v>
      </c>
      <c r="D56" s="37">
        <v>69.900000000000006</v>
      </c>
      <c r="E56" s="45">
        <f t="shared" si="0"/>
        <v>1181.8454935622317</v>
      </c>
      <c r="G56" s="16">
        <v>37865</v>
      </c>
      <c r="H56" s="45">
        <v>1181.8454935622317</v>
      </c>
    </row>
    <row r="57" spans="2:8" x14ac:dyDescent="0.2">
      <c r="B57" s="16">
        <v>37956</v>
      </c>
      <c r="C57" s="9">
        <v>680</v>
      </c>
      <c r="D57" s="37">
        <v>70.099999999999994</v>
      </c>
      <c r="E57" s="45">
        <f t="shared" si="0"/>
        <v>1169.8716119828816</v>
      </c>
      <c r="G57" s="16">
        <v>37956</v>
      </c>
      <c r="H57" s="45">
        <v>1169.8716119828816</v>
      </c>
    </row>
    <row r="58" spans="2:8" x14ac:dyDescent="0.2">
      <c r="B58" s="16">
        <v>38047</v>
      </c>
      <c r="C58" s="9">
        <v>665</v>
      </c>
      <c r="D58" s="37">
        <v>70.5</v>
      </c>
      <c r="E58" s="45">
        <f t="shared" si="0"/>
        <v>1137.5744680851064</v>
      </c>
      <c r="G58" s="16">
        <v>38047</v>
      </c>
      <c r="H58" s="45">
        <v>1137.5744680851064</v>
      </c>
    </row>
    <row r="59" spans="2:8" x14ac:dyDescent="0.2">
      <c r="B59" s="16">
        <v>38139</v>
      </c>
      <c r="C59" s="9">
        <v>640</v>
      </c>
      <c r="D59" s="37">
        <v>71.099999999999994</v>
      </c>
      <c r="E59" s="45">
        <f t="shared" si="0"/>
        <v>1085.5696202531647</v>
      </c>
      <c r="G59" s="16">
        <v>38139</v>
      </c>
      <c r="H59" s="45">
        <v>1085.5696202531647</v>
      </c>
    </row>
    <row r="60" spans="2:8" x14ac:dyDescent="0.2">
      <c r="B60" s="16">
        <v>38231</v>
      </c>
      <c r="C60" s="9">
        <v>630</v>
      </c>
      <c r="D60" s="37">
        <v>72.3</v>
      </c>
      <c r="E60" s="45">
        <f t="shared" si="0"/>
        <v>1050.8713692946058</v>
      </c>
      <c r="G60" s="16">
        <v>38231</v>
      </c>
      <c r="H60" s="45">
        <v>1050.8713692946058</v>
      </c>
    </row>
    <row r="61" spans="2:8" x14ac:dyDescent="0.2">
      <c r="B61" s="16">
        <v>38322</v>
      </c>
      <c r="C61" s="9">
        <v>630</v>
      </c>
      <c r="D61" s="37">
        <v>72.8</v>
      </c>
      <c r="E61" s="45">
        <f t="shared" si="0"/>
        <v>1043.6538461538462</v>
      </c>
      <c r="G61" s="16">
        <v>38322</v>
      </c>
      <c r="H61" s="45">
        <v>1043.6538461538462</v>
      </c>
    </row>
    <row r="62" spans="2:8" x14ac:dyDescent="0.2">
      <c r="B62" s="16">
        <v>38412</v>
      </c>
      <c r="C62" s="9">
        <v>635</v>
      </c>
      <c r="D62" s="37">
        <v>73.2</v>
      </c>
      <c r="E62" s="45">
        <f t="shared" si="0"/>
        <v>1046.188524590164</v>
      </c>
      <c r="G62" s="16">
        <v>38412</v>
      </c>
      <c r="H62" s="45">
        <v>1046.188524590164</v>
      </c>
    </row>
    <row r="63" spans="2:8" x14ac:dyDescent="0.2">
      <c r="B63" s="16">
        <v>38504</v>
      </c>
      <c r="C63" s="9">
        <v>629</v>
      </c>
      <c r="D63" s="37">
        <v>73.7</v>
      </c>
      <c r="E63" s="45">
        <f t="shared" si="0"/>
        <v>1029.2727272727273</v>
      </c>
      <c r="G63" s="16">
        <v>38504</v>
      </c>
      <c r="H63" s="45">
        <v>1029.2727272727273</v>
      </c>
    </row>
    <row r="64" spans="2:8" x14ac:dyDescent="0.2">
      <c r="B64" s="16">
        <v>38596</v>
      </c>
      <c r="C64" s="9">
        <v>607</v>
      </c>
      <c r="D64" s="37">
        <v>74.599999999999994</v>
      </c>
      <c r="E64" s="45">
        <f t="shared" si="0"/>
        <v>981.28954423592495</v>
      </c>
      <c r="G64" s="16">
        <v>38596</v>
      </c>
      <c r="H64" s="45">
        <v>981.28954423592495</v>
      </c>
    </row>
    <row r="65" spans="2:8" x14ac:dyDescent="0.2">
      <c r="B65" s="16">
        <v>38687</v>
      </c>
      <c r="C65" s="9">
        <v>620</v>
      </c>
      <c r="D65" s="37">
        <v>75</v>
      </c>
      <c r="E65" s="45">
        <f t="shared" si="0"/>
        <v>996.95999999999992</v>
      </c>
      <c r="G65" s="16">
        <v>38687</v>
      </c>
      <c r="H65" s="45">
        <v>996.95999999999992</v>
      </c>
    </row>
    <row r="66" spans="2:8" x14ac:dyDescent="0.2">
      <c r="B66" s="16">
        <v>38777</v>
      </c>
      <c r="C66" s="9">
        <v>615</v>
      </c>
      <c r="D66" s="37">
        <v>75.2</v>
      </c>
      <c r="E66" s="45">
        <f t="shared" si="0"/>
        <v>986.28989361702122</v>
      </c>
      <c r="G66" s="16">
        <v>38777</v>
      </c>
      <c r="H66" s="45">
        <v>986.28989361702122</v>
      </c>
    </row>
    <row r="67" spans="2:8" x14ac:dyDescent="0.2">
      <c r="B67" s="16">
        <v>38869</v>
      </c>
      <c r="C67" s="9">
        <v>657</v>
      </c>
      <c r="D67" s="37">
        <v>75.599999999999994</v>
      </c>
      <c r="E67" s="45">
        <f t="shared" si="0"/>
        <v>1048.0714285714287</v>
      </c>
      <c r="G67" s="16">
        <v>38869</v>
      </c>
      <c r="H67" s="45">
        <v>1048.0714285714287</v>
      </c>
    </row>
    <row r="68" spans="2:8" x14ac:dyDescent="0.2">
      <c r="B68" s="16">
        <v>38961</v>
      </c>
      <c r="C68" s="9">
        <v>636</v>
      </c>
      <c r="D68" s="37">
        <v>76.599999999999994</v>
      </c>
      <c r="E68" s="45">
        <f t="shared" si="0"/>
        <v>1001.3263707571801</v>
      </c>
      <c r="G68" s="16">
        <v>38961</v>
      </c>
      <c r="H68" s="45">
        <v>1001.3263707571801</v>
      </c>
    </row>
    <row r="69" spans="2:8" x14ac:dyDescent="0.2">
      <c r="B69" s="16">
        <v>39052</v>
      </c>
      <c r="C69" s="9">
        <v>660</v>
      </c>
      <c r="D69" s="37">
        <v>76.8</v>
      </c>
      <c r="E69" s="45">
        <f t="shared" si="0"/>
        <v>1036.40625</v>
      </c>
      <c r="G69" s="16">
        <v>39052</v>
      </c>
      <c r="H69" s="45">
        <v>1036.40625</v>
      </c>
    </row>
    <row r="70" spans="2:8" x14ac:dyDescent="0.2">
      <c r="B70" s="16">
        <v>39142</v>
      </c>
      <c r="C70" s="9">
        <v>655</v>
      </c>
      <c r="D70" s="37">
        <v>77.2</v>
      </c>
      <c r="E70" s="45">
        <f t="shared" ref="E70:E109" si="1">C70*($D$111/D70)</f>
        <v>1023.2253886010361</v>
      </c>
      <c r="G70" s="16">
        <v>39142</v>
      </c>
      <c r="H70" s="45">
        <v>1023.2253886010361</v>
      </c>
    </row>
    <row r="71" spans="2:8" x14ac:dyDescent="0.2">
      <c r="B71" s="16">
        <v>39234</v>
      </c>
      <c r="C71" s="9">
        <v>680</v>
      </c>
      <c r="D71" s="37">
        <v>77.900000000000006</v>
      </c>
      <c r="E71" s="45">
        <f t="shared" si="1"/>
        <v>1052.7342747111679</v>
      </c>
      <c r="G71" s="16">
        <v>39234</v>
      </c>
      <c r="H71" s="45">
        <v>1052.7342747111679</v>
      </c>
    </row>
    <row r="72" spans="2:8" x14ac:dyDescent="0.2">
      <c r="B72" s="16">
        <v>39326</v>
      </c>
      <c r="C72" s="9">
        <v>695</v>
      </c>
      <c r="D72" s="37">
        <v>79.400000000000006</v>
      </c>
      <c r="E72" s="45">
        <f t="shared" si="1"/>
        <v>1055.6297229219142</v>
      </c>
      <c r="G72" s="16">
        <v>39326</v>
      </c>
      <c r="H72" s="45">
        <v>1055.6297229219142</v>
      </c>
    </row>
    <row r="73" spans="2:8" x14ac:dyDescent="0.2">
      <c r="B73" s="16">
        <v>39417</v>
      </c>
      <c r="C73" s="9">
        <v>735</v>
      </c>
      <c r="D73" s="37">
        <v>80</v>
      </c>
      <c r="E73" s="45">
        <f t="shared" si="1"/>
        <v>1108.0124999999998</v>
      </c>
      <c r="G73" s="16">
        <v>39417</v>
      </c>
      <c r="H73" s="45">
        <v>1108.0124999999998</v>
      </c>
    </row>
    <row r="74" spans="2:8" x14ac:dyDescent="0.2">
      <c r="B74" s="16">
        <v>39508</v>
      </c>
      <c r="C74" s="9">
        <v>729</v>
      </c>
      <c r="D74" s="37">
        <v>81.2</v>
      </c>
      <c r="E74" s="45">
        <f t="shared" si="1"/>
        <v>1082.7266009852217</v>
      </c>
      <c r="G74" s="16">
        <v>39508</v>
      </c>
      <c r="H74" s="45">
        <v>1082.7266009852217</v>
      </c>
    </row>
    <row r="75" spans="2:8" x14ac:dyDescent="0.2">
      <c r="B75" s="16">
        <v>39600</v>
      </c>
      <c r="C75" s="9">
        <v>730</v>
      </c>
      <c r="D75" s="37">
        <v>82.4</v>
      </c>
      <c r="E75" s="45">
        <f t="shared" si="1"/>
        <v>1068.4223300970873</v>
      </c>
      <c r="G75" s="16">
        <v>39600</v>
      </c>
      <c r="H75" s="45">
        <v>1068.4223300970873</v>
      </c>
    </row>
    <row r="76" spans="2:8" x14ac:dyDescent="0.2">
      <c r="B76" s="16">
        <v>39692</v>
      </c>
      <c r="C76" s="9">
        <v>720</v>
      </c>
      <c r="D76" s="37">
        <v>84.4</v>
      </c>
      <c r="E76" s="45">
        <f t="shared" si="1"/>
        <v>1028.8151658767772</v>
      </c>
      <c r="G76" s="16">
        <v>39692</v>
      </c>
      <c r="H76" s="45">
        <v>1028.8151658767772</v>
      </c>
    </row>
    <row r="77" spans="2:8" x14ac:dyDescent="0.2">
      <c r="B77" s="16">
        <v>39783</v>
      </c>
      <c r="C77" s="9">
        <v>700</v>
      </c>
      <c r="D77" s="37">
        <v>85.3</v>
      </c>
      <c r="E77" s="45">
        <f t="shared" si="1"/>
        <v>989.68347010550997</v>
      </c>
      <c r="G77" s="16">
        <v>39783</v>
      </c>
      <c r="H77" s="45">
        <v>989.68347010550997</v>
      </c>
    </row>
    <row r="78" spans="2:8" x14ac:dyDescent="0.2">
      <c r="B78" s="16">
        <v>39873</v>
      </c>
      <c r="C78" s="9">
        <v>715</v>
      </c>
      <c r="D78" s="37">
        <v>85.9</v>
      </c>
      <c r="E78" s="45">
        <f t="shared" si="1"/>
        <v>1003.8300349243304</v>
      </c>
      <c r="G78" s="16">
        <v>39873</v>
      </c>
      <c r="H78" s="45">
        <v>1003.8300349243304</v>
      </c>
    </row>
    <row r="79" spans="2:8" x14ac:dyDescent="0.2">
      <c r="B79" s="16">
        <v>39965</v>
      </c>
      <c r="C79" s="9">
        <v>751</v>
      </c>
      <c r="D79" s="37">
        <v>86.9</v>
      </c>
      <c r="E79" s="45">
        <f t="shared" si="1"/>
        <v>1042.2393555811277</v>
      </c>
      <c r="G79" s="16">
        <v>39965</v>
      </c>
      <c r="H79" s="45">
        <v>1042.2393555811277</v>
      </c>
    </row>
    <row r="80" spans="2:8" x14ac:dyDescent="0.2">
      <c r="B80" s="16">
        <v>40057</v>
      </c>
      <c r="C80" s="9">
        <v>746</v>
      </c>
      <c r="D80" s="37">
        <v>90.2</v>
      </c>
      <c r="E80" s="45">
        <f t="shared" si="1"/>
        <v>997.42350332594231</v>
      </c>
      <c r="G80" s="16">
        <v>40057</v>
      </c>
      <c r="H80" s="45">
        <v>997.42350332594231</v>
      </c>
    </row>
    <row r="81" spans="2:8" x14ac:dyDescent="0.2">
      <c r="B81" s="16">
        <v>40148</v>
      </c>
      <c r="C81" s="9">
        <v>815</v>
      </c>
      <c r="D81" s="37">
        <v>90.8</v>
      </c>
      <c r="E81" s="45">
        <f t="shared" si="1"/>
        <v>1082.4779735682819</v>
      </c>
      <c r="G81" s="16">
        <v>40148</v>
      </c>
      <c r="H81" s="45">
        <v>1082.4779735682819</v>
      </c>
    </row>
    <row r="82" spans="2:8" x14ac:dyDescent="0.2">
      <c r="B82" s="16">
        <v>40238</v>
      </c>
      <c r="C82" s="9">
        <v>848</v>
      </c>
      <c r="D82" s="37">
        <v>91.6</v>
      </c>
      <c r="E82" s="45">
        <f t="shared" si="1"/>
        <v>1116.4716157205241</v>
      </c>
      <c r="G82" s="16">
        <v>40238</v>
      </c>
      <c r="H82" s="45">
        <v>1116.4716157205241</v>
      </c>
    </row>
    <row r="83" spans="2:8" x14ac:dyDescent="0.2">
      <c r="B83" s="16">
        <v>40330</v>
      </c>
      <c r="C83" s="9">
        <v>894</v>
      </c>
      <c r="D83" s="37">
        <v>92.1</v>
      </c>
      <c r="E83" s="45">
        <f t="shared" si="1"/>
        <v>1170.6449511400651</v>
      </c>
      <c r="G83" s="16">
        <v>40330</v>
      </c>
      <c r="H83" s="45">
        <v>1170.6449511400651</v>
      </c>
    </row>
    <row r="84" spans="2:8" x14ac:dyDescent="0.2">
      <c r="B84" s="16">
        <v>40422</v>
      </c>
      <c r="C84" s="9">
        <v>890</v>
      </c>
      <c r="D84" s="37">
        <v>94.2</v>
      </c>
      <c r="E84" s="45">
        <f t="shared" si="1"/>
        <v>1139.4267515923566</v>
      </c>
      <c r="G84" s="16">
        <v>40422</v>
      </c>
      <c r="H84" s="45">
        <v>1139.4267515923566</v>
      </c>
    </row>
    <row r="85" spans="2:8" x14ac:dyDescent="0.2">
      <c r="B85" s="16">
        <v>40513</v>
      </c>
      <c r="C85" s="9">
        <v>883</v>
      </c>
      <c r="D85" s="37">
        <v>95</v>
      </c>
      <c r="E85" s="45">
        <f t="shared" si="1"/>
        <v>1120.9452631578947</v>
      </c>
      <c r="G85" s="16">
        <v>40513</v>
      </c>
      <c r="H85" s="45">
        <v>1120.9452631578947</v>
      </c>
    </row>
    <row r="86" spans="2:8" x14ac:dyDescent="0.2">
      <c r="B86" s="16">
        <v>40603</v>
      </c>
      <c r="C86" s="9">
        <v>859</v>
      </c>
      <c r="D86" s="37">
        <v>96</v>
      </c>
      <c r="E86" s="45">
        <f t="shared" si="1"/>
        <v>1079.1187499999999</v>
      </c>
      <c r="G86" s="16">
        <v>40603</v>
      </c>
      <c r="H86" s="45">
        <v>1079.1187499999999</v>
      </c>
    </row>
    <row r="87" spans="2:8" x14ac:dyDescent="0.2">
      <c r="B87" s="16">
        <v>40695</v>
      </c>
      <c r="C87" s="9">
        <v>887</v>
      </c>
      <c r="D87" s="37">
        <v>96.8</v>
      </c>
      <c r="E87" s="45">
        <f t="shared" si="1"/>
        <v>1105.0847107438017</v>
      </c>
      <c r="G87" s="16">
        <v>40695</v>
      </c>
      <c r="H87" s="45">
        <v>1105.0847107438017</v>
      </c>
    </row>
    <row r="88" spans="2:8" x14ac:dyDescent="0.2">
      <c r="B88" s="16">
        <v>40787</v>
      </c>
      <c r="C88" s="9">
        <v>879</v>
      </c>
      <c r="D88" s="37">
        <v>99.1</v>
      </c>
      <c r="E88" s="45">
        <f t="shared" si="1"/>
        <v>1069.7013118062564</v>
      </c>
      <c r="G88" s="16">
        <v>40787</v>
      </c>
      <c r="H88" s="45">
        <v>1069.7013118062564</v>
      </c>
    </row>
    <row r="89" spans="2:8" x14ac:dyDescent="0.2">
      <c r="B89" s="16">
        <v>40878</v>
      </c>
      <c r="C89" s="9">
        <v>868</v>
      </c>
      <c r="D89" s="37">
        <v>99.8</v>
      </c>
      <c r="E89" s="45">
        <f t="shared" si="1"/>
        <v>1048.9058116232466</v>
      </c>
      <c r="G89" s="16">
        <v>40878</v>
      </c>
      <c r="H89" s="45">
        <v>1048.9058116232466</v>
      </c>
    </row>
    <row r="90" spans="2:8" x14ac:dyDescent="0.2">
      <c r="B90" s="16">
        <v>40969</v>
      </c>
      <c r="C90" s="9">
        <v>880</v>
      </c>
      <c r="D90" s="37">
        <v>100.1</v>
      </c>
      <c r="E90" s="45">
        <f t="shared" si="1"/>
        <v>1060.2197802197802</v>
      </c>
      <c r="G90" s="16">
        <v>40969</v>
      </c>
      <c r="H90" s="45">
        <v>1060.2197802197802</v>
      </c>
    </row>
    <row r="91" spans="2:8" x14ac:dyDescent="0.2">
      <c r="B91" s="16">
        <v>41061</v>
      </c>
      <c r="C91" s="9">
        <v>880</v>
      </c>
      <c r="D91" s="37">
        <v>101</v>
      </c>
      <c r="E91" s="45">
        <f t="shared" si="1"/>
        <v>1050.7722772277227</v>
      </c>
      <c r="G91" s="16">
        <v>41061</v>
      </c>
      <c r="H91" s="45">
        <v>1050.7722772277227</v>
      </c>
    </row>
    <row r="92" spans="2:8" x14ac:dyDescent="0.2">
      <c r="B92" s="16">
        <v>41153</v>
      </c>
      <c r="C92" s="9">
        <v>875</v>
      </c>
      <c r="D92" s="37">
        <v>104.3</v>
      </c>
      <c r="E92" s="45">
        <f t="shared" si="1"/>
        <v>1011.744966442953</v>
      </c>
      <c r="G92" s="16">
        <v>41153</v>
      </c>
      <c r="H92" s="45">
        <v>1011.744966442953</v>
      </c>
    </row>
    <row r="93" spans="2:8" x14ac:dyDescent="0.2">
      <c r="B93" s="16">
        <v>41244</v>
      </c>
      <c r="C93" s="9">
        <v>900</v>
      </c>
      <c r="D93" s="37">
        <v>105.1</v>
      </c>
      <c r="E93" s="45">
        <f t="shared" si="1"/>
        <v>1032.7307326355851</v>
      </c>
      <c r="G93" s="16">
        <v>41244</v>
      </c>
      <c r="H93" s="45">
        <v>1032.7307326355851</v>
      </c>
    </row>
    <row r="94" spans="2:8" x14ac:dyDescent="0.2">
      <c r="B94" s="16">
        <v>41334</v>
      </c>
      <c r="C94" s="9">
        <v>910</v>
      </c>
      <c r="D94" s="37">
        <v>105.9</v>
      </c>
      <c r="E94" s="45">
        <f t="shared" si="1"/>
        <v>1036.3172804532578</v>
      </c>
      <c r="G94" s="16">
        <v>41334</v>
      </c>
      <c r="H94" s="45">
        <v>1036.3172804532578</v>
      </c>
    </row>
    <row r="95" spans="2:8" x14ac:dyDescent="0.2">
      <c r="B95" s="16">
        <v>41426</v>
      </c>
      <c r="C95" s="9">
        <v>921</v>
      </c>
      <c r="D95" s="37">
        <v>106.6</v>
      </c>
      <c r="E95" s="45">
        <f t="shared" si="1"/>
        <v>1041.9568480300186</v>
      </c>
      <c r="G95" s="16">
        <v>41426</v>
      </c>
      <c r="H95" s="45">
        <v>1041.9568480300186</v>
      </c>
    </row>
    <row r="96" spans="2:8" x14ac:dyDescent="0.2">
      <c r="B96" s="16">
        <v>41518</v>
      </c>
      <c r="C96" s="9">
        <v>988</v>
      </c>
      <c r="D96" s="37">
        <v>108.5</v>
      </c>
      <c r="E96" s="45">
        <f t="shared" si="1"/>
        <v>1098.1824884792627</v>
      </c>
      <c r="G96" s="16">
        <v>41518</v>
      </c>
      <c r="H96" s="45">
        <v>1098.1824884792627</v>
      </c>
    </row>
    <row r="97" spans="2:8" x14ac:dyDescent="0.2">
      <c r="B97" s="16">
        <v>41609</v>
      </c>
      <c r="C97" s="9">
        <v>1101</v>
      </c>
      <c r="D97" s="37">
        <v>109.2</v>
      </c>
      <c r="E97" s="45">
        <f t="shared" si="1"/>
        <v>1215.9395604395602</v>
      </c>
      <c r="G97" s="16">
        <v>41609</v>
      </c>
      <c r="H97" s="45">
        <v>1215.9395604395602</v>
      </c>
    </row>
    <row r="98" spans="2:8" x14ac:dyDescent="0.2">
      <c r="B98" s="16">
        <v>41699</v>
      </c>
      <c r="C98" s="9">
        <v>1150</v>
      </c>
      <c r="D98" s="37">
        <v>109.7</v>
      </c>
      <c r="E98" s="45">
        <f t="shared" si="1"/>
        <v>1264.2661804922516</v>
      </c>
      <c r="G98" s="16">
        <v>41699</v>
      </c>
      <c r="H98" s="45">
        <v>1264.2661804922516</v>
      </c>
    </row>
    <row r="99" spans="2:8" x14ac:dyDescent="0.2">
      <c r="B99" s="16">
        <v>41791</v>
      </c>
      <c r="C99" s="9">
        <v>1242</v>
      </c>
      <c r="D99" s="37">
        <v>110.8</v>
      </c>
      <c r="E99" s="45">
        <f t="shared" si="1"/>
        <v>1351.8519855595666</v>
      </c>
      <c r="G99" s="16">
        <v>41791</v>
      </c>
      <c r="H99" s="45">
        <v>1351.8519855595666</v>
      </c>
    </row>
    <row r="100" spans="2:8" x14ac:dyDescent="0.2">
      <c r="B100" s="16">
        <v>41883</v>
      </c>
      <c r="C100" s="9">
        <v>1300</v>
      </c>
      <c r="D100" s="37">
        <v>111.7</v>
      </c>
      <c r="E100" s="45">
        <f t="shared" si="1"/>
        <v>1403.5810205908683</v>
      </c>
      <c r="G100" s="16">
        <v>41883</v>
      </c>
      <c r="H100" s="45">
        <v>1403.5810205908683</v>
      </c>
    </row>
    <row r="101" spans="2:8" x14ac:dyDescent="0.2">
      <c r="B101" s="16">
        <v>41974</v>
      </c>
      <c r="C101" s="9">
        <v>1305</v>
      </c>
      <c r="D101" s="37">
        <v>112.6</v>
      </c>
      <c r="E101" s="45">
        <f t="shared" si="1"/>
        <v>1397.7175843694492</v>
      </c>
      <c r="G101" s="16">
        <v>41974</v>
      </c>
      <c r="H101" s="45">
        <v>1397.7175843694492</v>
      </c>
    </row>
    <row r="102" spans="2:8" x14ac:dyDescent="0.2">
      <c r="B102" s="16">
        <v>42064</v>
      </c>
      <c r="C102" s="9">
        <v>1400</v>
      </c>
      <c r="D102" s="37">
        <v>113.6</v>
      </c>
      <c r="E102" s="45">
        <f t="shared" si="1"/>
        <v>1486.267605633803</v>
      </c>
      <c r="G102" s="16">
        <v>42064</v>
      </c>
      <c r="H102" s="45">
        <v>1486.267605633803</v>
      </c>
    </row>
    <row r="103" spans="2:8" x14ac:dyDescent="0.2">
      <c r="B103" s="16">
        <v>42156</v>
      </c>
      <c r="C103" s="9">
        <v>1526</v>
      </c>
      <c r="D103" s="37">
        <v>114.9</v>
      </c>
      <c r="E103" s="45">
        <f t="shared" si="1"/>
        <v>1601.7023498694516</v>
      </c>
      <c r="G103" s="16">
        <v>42156</v>
      </c>
      <c r="H103" s="45">
        <v>1601.7023498694516</v>
      </c>
    </row>
    <row r="104" spans="2:8" x14ac:dyDescent="0.2">
      <c r="B104" s="16">
        <v>42248</v>
      </c>
      <c r="C104" s="9">
        <v>1576</v>
      </c>
      <c r="D104" s="37">
        <v>115.1</v>
      </c>
      <c r="E104" s="45">
        <f t="shared" si="1"/>
        <v>1651.3084274543874</v>
      </c>
      <c r="G104" s="16">
        <v>42248</v>
      </c>
      <c r="H104" s="45">
        <v>1651.3084274543874</v>
      </c>
    </row>
    <row r="105" spans="2:8" x14ac:dyDescent="0.2">
      <c r="B105" s="16">
        <v>42339</v>
      </c>
      <c r="C105" s="9">
        <v>1500</v>
      </c>
      <c r="D105" s="37">
        <v>115.4</v>
      </c>
      <c r="E105" s="45">
        <f t="shared" si="1"/>
        <v>1567.5909878682839</v>
      </c>
      <c r="G105" s="16">
        <v>42339</v>
      </c>
      <c r="H105" s="45">
        <v>1567.5909878682839</v>
      </c>
    </row>
    <row r="106" spans="2:8" x14ac:dyDescent="0.2">
      <c r="B106" s="16">
        <v>42430</v>
      </c>
      <c r="C106" s="9">
        <v>1523</v>
      </c>
      <c r="D106" s="37">
        <v>115.9</v>
      </c>
      <c r="E106" s="45">
        <f t="shared" si="1"/>
        <v>1584.7610008628126</v>
      </c>
      <c r="G106" s="16">
        <v>42430</v>
      </c>
      <c r="H106" s="45">
        <v>1584.7610008628126</v>
      </c>
    </row>
    <row r="107" spans="2:8" x14ac:dyDescent="0.2">
      <c r="B107" s="16">
        <v>42522</v>
      </c>
      <c r="C107" s="9">
        <v>1538</v>
      </c>
      <c r="D107" s="37">
        <v>116.7</v>
      </c>
      <c r="E107" s="45">
        <f>C107*($D$111/D107)</f>
        <v>1589.3984575835475</v>
      </c>
      <c r="G107" s="16">
        <v>42522</v>
      </c>
      <c r="H107" s="45">
        <v>1589.3984575835475</v>
      </c>
    </row>
    <row r="108" spans="2:8" x14ac:dyDescent="0.2">
      <c r="B108" s="16">
        <v>42614</v>
      </c>
      <c r="C108" s="9">
        <v>1550</v>
      </c>
      <c r="D108" s="37">
        <v>118.4</v>
      </c>
      <c r="E108" s="45">
        <f>C108*($D$111/D108)</f>
        <v>1578.8006756756754</v>
      </c>
      <c r="G108" s="16">
        <v>42614</v>
      </c>
      <c r="H108" s="45">
        <v>1578.8006756756754</v>
      </c>
    </row>
    <row r="109" spans="2:8" x14ac:dyDescent="0.2">
      <c r="B109" s="16">
        <v>42705</v>
      </c>
      <c r="C109" s="9">
        <v>1664</v>
      </c>
      <c r="D109" s="37">
        <v>119</v>
      </c>
      <c r="E109" s="45">
        <f>C109*($D$111/D109)</f>
        <v>1686.3731092436974</v>
      </c>
      <c r="G109" s="16">
        <v>42705</v>
      </c>
      <c r="H109" s="45">
        <v>1686.3731092436974</v>
      </c>
    </row>
    <row r="110" spans="2:8" x14ac:dyDescent="0.2">
      <c r="B110" s="16">
        <v>42795</v>
      </c>
      <c r="C110" s="9">
        <v>1785</v>
      </c>
      <c r="D110" s="37">
        <v>119.8</v>
      </c>
      <c r="E110" s="45">
        <f>C110*($D$111/D110)</f>
        <v>1796.9198664440735</v>
      </c>
      <c r="G110" s="16">
        <v>42795</v>
      </c>
      <c r="H110" s="45">
        <v>1796.9198664440735</v>
      </c>
    </row>
    <row r="111" spans="2:8" x14ac:dyDescent="0.2">
      <c r="B111" s="16">
        <v>42887</v>
      </c>
      <c r="D111" s="37">
        <v>120.6</v>
      </c>
      <c r="G111" s="16">
        <v>42887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5"/>
  <sheetViews>
    <sheetView zoomScale="162" zoomScaleNormal="100" workbookViewId="0">
      <pane xSplit="3" ySplit="4" topLeftCell="DB5" activePane="bottomRight" state="frozen"/>
      <selection activeCell="GK16" sqref="GK16"/>
      <selection pane="topRight" activeCell="GK16" sqref="GK16"/>
      <selection pane="bottomLeft" activeCell="GK16" sqref="GK16"/>
      <selection pane="bottomRight" activeCell="DE6" sqref="DE6"/>
    </sheetView>
  </sheetViews>
  <sheetFormatPr baseColWidth="10" defaultColWidth="9.1640625" defaultRowHeight="11" x14ac:dyDescent="0.15"/>
  <cols>
    <col min="1" max="1" width="5.1640625" style="5" bestFit="1" customWidth="1"/>
    <col min="2" max="2" width="11.1640625" style="5" bestFit="1" customWidth="1"/>
    <col min="3" max="3" width="20.83203125" style="5" bestFit="1" customWidth="1"/>
    <col min="4" max="4" width="6.6640625" style="5" customWidth="1"/>
    <col min="5" max="5" width="5.83203125" style="5" bestFit="1" customWidth="1"/>
    <col min="6" max="7" width="6.1640625" style="5" bestFit="1" customWidth="1"/>
    <col min="8" max="8" width="6" style="5" bestFit="1" customWidth="1"/>
    <col min="9" max="9" width="5.83203125" style="5" bestFit="1" customWidth="1"/>
    <col min="10" max="11" width="6.1640625" style="5" bestFit="1" customWidth="1"/>
    <col min="12" max="12" width="6" style="5" bestFit="1" customWidth="1"/>
    <col min="13" max="13" width="5.83203125" style="5" bestFit="1" customWidth="1"/>
    <col min="14" max="15" width="6.1640625" style="5" bestFit="1" customWidth="1"/>
    <col min="16" max="16" width="6" style="5" bestFit="1" customWidth="1"/>
    <col min="17" max="17" width="5.83203125" style="5" bestFit="1" customWidth="1"/>
    <col min="18" max="19" width="6.1640625" style="5" bestFit="1" customWidth="1"/>
    <col min="20" max="20" width="6" style="5" bestFit="1" customWidth="1"/>
    <col min="21" max="21" width="5.83203125" style="5" bestFit="1" customWidth="1"/>
    <col min="22" max="23" width="6.1640625" style="5" bestFit="1" customWidth="1"/>
    <col min="24" max="24" width="6" style="5" bestFit="1" customWidth="1"/>
    <col min="25" max="25" width="5.83203125" style="5" bestFit="1" customWidth="1"/>
    <col min="26" max="27" width="6.1640625" style="5" bestFit="1" customWidth="1"/>
    <col min="28" max="28" width="6" style="5" bestFit="1" customWidth="1"/>
    <col min="29" max="29" width="5.83203125" style="5" bestFit="1" customWidth="1"/>
    <col min="30" max="31" width="6.1640625" style="5" bestFit="1" customWidth="1"/>
    <col min="32" max="32" width="6" style="5" bestFit="1" customWidth="1"/>
    <col min="33" max="33" width="5.83203125" style="5" bestFit="1" customWidth="1"/>
    <col min="34" max="35" width="6.1640625" style="5" bestFit="1" customWidth="1"/>
    <col min="36" max="36" width="6" style="5" bestFit="1" customWidth="1"/>
    <col min="37" max="37" width="5.83203125" style="5" bestFit="1" customWidth="1"/>
    <col min="38" max="39" width="6.1640625" style="5" bestFit="1" customWidth="1"/>
    <col min="40" max="40" width="6" style="5" bestFit="1" customWidth="1"/>
    <col min="41" max="41" width="5.83203125" style="5" bestFit="1" customWidth="1"/>
    <col min="42" max="43" width="6.1640625" style="5" bestFit="1" customWidth="1"/>
    <col min="44" max="44" width="6" style="5" bestFit="1" customWidth="1"/>
    <col min="45" max="45" width="5.83203125" style="5" bestFit="1" customWidth="1"/>
    <col min="46" max="47" width="6.1640625" style="5" bestFit="1" customWidth="1"/>
    <col min="48" max="48" width="6" style="5" bestFit="1" customWidth="1"/>
    <col min="49" max="49" width="5.83203125" style="5" bestFit="1" customWidth="1"/>
    <col min="50" max="51" width="6.1640625" style="5" bestFit="1" customWidth="1"/>
    <col min="52" max="52" width="6" style="5" bestFit="1" customWidth="1"/>
    <col min="53" max="53" width="5.83203125" style="5" bestFit="1" customWidth="1"/>
    <col min="54" max="59" width="6.1640625" style="5" bestFit="1" customWidth="1"/>
    <col min="60" max="60" width="6" style="5" bestFit="1" customWidth="1"/>
    <col min="61" max="61" width="5.83203125" style="5" bestFit="1" customWidth="1"/>
    <col min="62" max="64" width="6.1640625" style="5" bestFit="1" customWidth="1"/>
    <col min="65" max="65" width="5.83203125" style="5" bestFit="1" customWidth="1"/>
    <col min="66" max="67" width="6.1640625" style="5" bestFit="1" customWidth="1"/>
    <col min="68" max="68" width="6" style="5" bestFit="1" customWidth="1"/>
    <col min="69" max="69" width="5.83203125" style="5" bestFit="1" customWidth="1"/>
    <col min="70" max="72" width="6.1640625" style="5" bestFit="1" customWidth="1"/>
    <col min="73" max="73" width="5.83203125" style="5" bestFit="1" customWidth="1"/>
    <col min="74" max="75" width="6.1640625" style="5" bestFit="1" customWidth="1"/>
    <col min="76" max="76" width="6" style="5" bestFit="1" customWidth="1"/>
    <col min="77" max="108" width="6.1640625" style="5" bestFit="1" customWidth="1"/>
    <col min="109" max="16384" width="9.1640625" style="5"/>
  </cols>
  <sheetData>
    <row r="1" spans="1:149" x14ac:dyDescent="0.15">
      <c r="B1" s="7" t="s">
        <v>124</v>
      </c>
    </row>
    <row r="2" spans="1:149" x14ac:dyDescent="0.15">
      <c r="A2" s="1"/>
      <c r="B2" s="1"/>
      <c r="C2" s="1" t="s">
        <v>0</v>
      </c>
      <c r="D2" s="7" t="s">
        <v>82</v>
      </c>
    </row>
    <row r="3" spans="1:149" x14ac:dyDescent="0.15">
      <c r="A3" s="1" t="s">
        <v>1</v>
      </c>
      <c r="B3" s="1"/>
      <c r="C3" s="1" t="s">
        <v>2</v>
      </c>
      <c r="D3" s="15" t="s">
        <v>83</v>
      </c>
    </row>
    <row r="4" spans="1:149" x14ac:dyDescent="0.15">
      <c r="A4" s="2"/>
      <c r="B4" s="2"/>
      <c r="C4" s="3" t="s">
        <v>96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8" t="s">
        <v>21</v>
      </c>
      <c r="T4" s="8" t="s">
        <v>22</v>
      </c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 t="s">
        <v>34</v>
      </c>
      <c r="AG4" s="8" t="s">
        <v>35</v>
      </c>
      <c r="AH4" s="8" t="s">
        <v>36</v>
      </c>
      <c r="AI4" s="8" t="s">
        <v>37</v>
      </c>
      <c r="AJ4" s="8" t="s">
        <v>38</v>
      </c>
      <c r="AK4" s="8" t="s">
        <v>39</v>
      </c>
      <c r="AL4" s="8" t="s">
        <v>40</v>
      </c>
      <c r="AM4" s="8" t="s">
        <v>41</v>
      </c>
      <c r="AN4" s="8" t="s">
        <v>42</v>
      </c>
      <c r="AO4" s="8" t="s">
        <v>43</v>
      </c>
      <c r="AP4" s="8" t="s">
        <v>44</v>
      </c>
      <c r="AQ4" s="8" t="s">
        <v>45</v>
      </c>
      <c r="AR4" s="8" t="s">
        <v>46</v>
      </c>
      <c r="AS4" s="8" t="s">
        <v>47</v>
      </c>
      <c r="AT4" s="8" t="s">
        <v>48</v>
      </c>
      <c r="AU4" s="8" t="s">
        <v>49</v>
      </c>
      <c r="AV4" s="8" t="s">
        <v>50</v>
      </c>
      <c r="AW4" s="8" t="s">
        <v>51</v>
      </c>
      <c r="AX4" s="8" t="s">
        <v>52</v>
      </c>
      <c r="AY4" s="8" t="s">
        <v>53</v>
      </c>
      <c r="AZ4" s="8" t="s">
        <v>54</v>
      </c>
      <c r="BA4" s="8" t="s">
        <v>55</v>
      </c>
      <c r="BB4" s="8" t="s">
        <v>56</v>
      </c>
      <c r="BC4" s="8" t="s">
        <v>57</v>
      </c>
      <c r="BD4" s="8" t="s">
        <v>58</v>
      </c>
      <c r="BE4" s="8" t="s">
        <v>59</v>
      </c>
      <c r="BF4" s="8" t="s">
        <v>60</v>
      </c>
      <c r="BG4" s="8" t="s">
        <v>61</v>
      </c>
      <c r="BH4" s="8" t="s">
        <v>62</v>
      </c>
      <c r="BI4" s="8" t="s">
        <v>63</v>
      </c>
      <c r="BJ4" s="8" t="s">
        <v>64</v>
      </c>
      <c r="BK4" s="8" t="s">
        <v>65</v>
      </c>
      <c r="BL4" s="8" t="s">
        <v>66</v>
      </c>
      <c r="BM4" s="8" t="s">
        <v>67</v>
      </c>
      <c r="BN4" s="8" t="s">
        <v>68</v>
      </c>
      <c r="BO4" s="8" t="s">
        <v>69</v>
      </c>
      <c r="BP4" s="8" t="s">
        <v>70</v>
      </c>
      <c r="BQ4" s="8" t="s">
        <v>71</v>
      </c>
      <c r="BR4" s="8" t="s">
        <v>72</v>
      </c>
      <c r="BS4" s="8" t="s">
        <v>73</v>
      </c>
      <c r="BT4" s="8" t="s">
        <v>74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79</v>
      </c>
      <c r="BZ4" s="8" t="s">
        <v>80</v>
      </c>
      <c r="CA4" s="8" t="s">
        <v>81</v>
      </c>
      <c r="CB4" s="8" t="s">
        <v>84</v>
      </c>
      <c r="CC4" s="8" t="s">
        <v>85</v>
      </c>
      <c r="CD4" s="8" t="s">
        <v>86</v>
      </c>
      <c r="CE4" s="8" t="s">
        <v>87</v>
      </c>
      <c r="CF4" s="8" t="s">
        <v>88</v>
      </c>
      <c r="CG4" s="8" t="s">
        <v>89</v>
      </c>
      <c r="CH4" s="8" t="s">
        <v>90</v>
      </c>
      <c r="CI4" s="8" t="s">
        <v>91</v>
      </c>
      <c r="CJ4" s="8" t="s">
        <v>92</v>
      </c>
      <c r="CK4" s="8" t="s">
        <v>93</v>
      </c>
      <c r="CL4" s="8" t="s">
        <v>94</v>
      </c>
      <c r="CM4" s="8" t="s">
        <v>95</v>
      </c>
      <c r="CN4" s="8" t="s">
        <v>98</v>
      </c>
      <c r="CO4" s="8" t="s">
        <v>99</v>
      </c>
      <c r="CP4" s="8" t="s">
        <v>100</v>
      </c>
      <c r="CQ4" s="8" t="s">
        <v>101</v>
      </c>
      <c r="CR4" s="8" t="s">
        <v>102</v>
      </c>
      <c r="CS4" s="8" t="s">
        <v>103</v>
      </c>
      <c r="CT4" s="16" t="s">
        <v>105</v>
      </c>
      <c r="CU4" s="8" t="s">
        <v>104</v>
      </c>
      <c r="CV4" s="8" t="s">
        <v>106</v>
      </c>
      <c r="CW4" s="8" t="s">
        <v>107</v>
      </c>
      <c r="CX4" s="8" t="s">
        <v>108</v>
      </c>
      <c r="CY4" s="8" t="s">
        <v>109</v>
      </c>
      <c r="CZ4" s="8" t="s">
        <v>110</v>
      </c>
      <c r="DA4" s="25">
        <v>42522</v>
      </c>
      <c r="DB4" s="25">
        <v>42614</v>
      </c>
      <c r="DC4" s="25">
        <v>42705</v>
      </c>
      <c r="DD4" s="25">
        <v>42795</v>
      </c>
    </row>
    <row r="5" spans="1:149" s="10" customFormat="1" x14ac:dyDescent="0.15">
      <c r="A5" s="4">
        <v>6700</v>
      </c>
      <c r="B5" s="4">
        <v>24</v>
      </c>
      <c r="C5" s="6" t="s">
        <v>4</v>
      </c>
      <c r="D5" s="9">
        <v>177</v>
      </c>
      <c r="E5" s="9">
        <v>175</v>
      </c>
      <c r="F5" s="9">
        <v>180</v>
      </c>
      <c r="G5" s="9">
        <v>200</v>
      </c>
      <c r="H5" s="9">
        <v>219</v>
      </c>
      <c r="I5" s="9">
        <v>220</v>
      </c>
      <c r="J5" s="9">
        <v>210</v>
      </c>
      <c r="K5" s="9">
        <v>233</v>
      </c>
      <c r="L5" s="9">
        <v>230</v>
      </c>
      <c r="M5" s="9">
        <v>235</v>
      </c>
      <c r="N5" s="9">
        <v>232</v>
      </c>
      <c r="O5" s="9">
        <v>238</v>
      </c>
      <c r="P5" s="9">
        <v>238</v>
      </c>
      <c r="Q5" s="9">
        <v>250</v>
      </c>
      <c r="R5" s="9">
        <v>268</v>
      </c>
      <c r="S5" s="9">
        <v>268</v>
      </c>
      <c r="T5" s="9">
        <v>263</v>
      </c>
      <c r="U5" s="9">
        <v>270</v>
      </c>
      <c r="V5" s="9">
        <v>265</v>
      </c>
      <c r="W5" s="9">
        <v>254</v>
      </c>
      <c r="X5" s="9">
        <v>258</v>
      </c>
      <c r="Y5" s="9">
        <v>257</v>
      </c>
      <c r="Z5" s="9">
        <v>265</v>
      </c>
      <c r="AA5" s="9">
        <v>270</v>
      </c>
      <c r="AB5" s="9">
        <v>285</v>
      </c>
      <c r="AC5" s="9">
        <v>300</v>
      </c>
      <c r="AD5" s="9">
        <v>320</v>
      </c>
      <c r="AE5" s="9">
        <v>327</v>
      </c>
      <c r="AF5" s="9">
        <v>338</v>
      </c>
      <c r="AG5" s="9">
        <v>341</v>
      </c>
      <c r="AH5" s="9">
        <v>339</v>
      </c>
      <c r="AI5" s="9">
        <v>350</v>
      </c>
      <c r="AJ5" s="9">
        <v>360</v>
      </c>
      <c r="AK5" s="9">
        <v>375</v>
      </c>
      <c r="AL5" s="9">
        <v>380</v>
      </c>
      <c r="AM5" s="9">
        <v>385</v>
      </c>
      <c r="AN5" s="9">
        <v>390</v>
      </c>
      <c r="AO5" s="9">
        <v>415</v>
      </c>
      <c r="AP5" s="9">
        <v>390</v>
      </c>
      <c r="AQ5" s="9">
        <v>407</v>
      </c>
      <c r="AR5" s="9">
        <v>410</v>
      </c>
      <c r="AS5" s="9">
        <v>455</v>
      </c>
      <c r="AT5" s="9">
        <v>482</v>
      </c>
      <c r="AU5" s="9">
        <v>500</v>
      </c>
      <c r="AV5" s="9">
        <v>520</v>
      </c>
      <c r="AW5" s="9">
        <v>582</v>
      </c>
      <c r="AX5" s="9">
        <v>600</v>
      </c>
      <c r="AY5" s="9">
        <v>610</v>
      </c>
      <c r="AZ5" s="9">
        <v>616</v>
      </c>
      <c r="BA5" s="9">
        <v>630</v>
      </c>
      <c r="BB5" s="9">
        <v>685</v>
      </c>
      <c r="BC5" s="9">
        <v>680</v>
      </c>
      <c r="BD5" s="9">
        <v>665</v>
      </c>
      <c r="BE5" s="9">
        <v>640</v>
      </c>
      <c r="BF5" s="9">
        <v>630</v>
      </c>
      <c r="BG5" s="9">
        <v>630</v>
      </c>
      <c r="BH5" s="9">
        <v>635</v>
      </c>
      <c r="BI5" s="9">
        <v>629</v>
      </c>
      <c r="BJ5" s="9">
        <v>607</v>
      </c>
      <c r="BK5" s="9">
        <v>620</v>
      </c>
      <c r="BL5" s="9">
        <v>615</v>
      </c>
      <c r="BM5" s="9">
        <v>657</v>
      </c>
      <c r="BN5" s="9">
        <v>636</v>
      </c>
      <c r="BO5" s="9">
        <v>660</v>
      </c>
      <c r="BP5" s="9">
        <v>655</v>
      </c>
      <c r="BQ5" s="9">
        <v>680</v>
      </c>
      <c r="BR5" s="9">
        <v>695</v>
      </c>
      <c r="BS5" s="9">
        <v>735</v>
      </c>
      <c r="BT5" s="9">
        <v>729</v>
      </c>
      <c r="BU5" s="9">
        <v>730</v>
      </c>
      <c r="BV5" s="9">
        <v>720</v>
      </c>
      <c r="BW5" s="9">
        <v>700</v>
      </c>
      <c r="BX5" s="9">
        <v>715</v>
      </c>
      <c r="BY5" s="9">
        <v>751</v>
      </c>
      <c r="BZ5" s="9">
        <v>746</v>
      </c>
      <c r="CA5" s="9">
        <v>815</v>
      </c>
      <c r="CB5" s="9">
        <v>848</v>
      </c>
      <c r="CC5" s="9">
        <v>894</v>
      </c>
      <c r="CD5" s="9">
        <v>890</v>
      </c>
      <c r="CE5" s="9">
        <v>883</v>
      </c>
      <c r="CF5" s="9">
        <v>859</v>
      </c>
      <c r="CG5" s="9">
        <v>887</v>
      </c>
      <c r="CH5" s="9">
        <v>879</v>
      </c>
      <c r="CI5" s="9">
        <v>868</v>
      </c>
      <c r="CJ5" s="9">
        <v>880</v>
      </c>
      <c r="CK5" s="9">
        <v>880</v>
      </c>
      <c r="CL5" s="9">
        <v>875</v>
      </c>
      <c r="CM5" s="9">
        <v>900</v>
      </c>
      <c r="CN5" s="9">
        <v>910</v>
      </c>
      <c r="CO5" s="9">
        <v>921</v>
      </c>
      <c r="CP5" s="9">
        <v>988</v>
      </c>
      <c r="CQ5" s="9">
        <v>1101</v>
      </c>
      <c r="CR5" s="9">
        <v>1150</v>
      </c>
      <c r="CS5" s="9">
        <v>1242</v>
      </c>
      <c r="CT5" s="9">
        <v>1300</v>
      </c>
      <c r="CU5" s="9">
        <v>1305</v>
      </c>
      <c r="CV5" s="9">
        <v>1400</v>
      </c>
      <c r="CW5" s="9">
        <v>1526</v>
      </c>
      <c r="CX5" s="9">
        <v>1576</v>
      </c>
      <c r="CY5" s="9">
        <v>1500</v>
      </c>
      <c r="CZ5" s="9">
        <v>1523</v>
      </c>
      <c r="DA5" s="9">
        <v>1538</v>
      </c>
      <c r="DB5" s="9">
        <v>1550</v>
      </c>
      <c r="DC5" s="9">
        <v>1664</v>
      </c>
      <c r="DD5" s="9">
        <v>1785</v>
      </c>
      <c r="DE5" s="14">
        <f>((DD5/D5)^(1/27)-1)*103</f>
        <v>9.2044292050607055</v>
      </c>
      <c r="DF5" s="14"/>
      <c r="DG5" s="14"/>
      <c r="DH5" s="13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</row>
  </sheetData>
  <phoneticPr fontId="7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5"/>
  <sheetViews>
    <sheetView zoomScale="140" workbookViewId="0">
      <selection activeCell="C3" sqref="C3:C104"/>
    </sheetView>
  </sheetViews>
  <sheetFormatPr baseColWidth="10" defaultRowHeight="15" x14ac:dyDescent="0.2"/>
  <cols>
    <col min="5" max="5" width="10.83203125" style="44"/>
    <col min="8" max="8" width="10.83203125" style="44"/>
  </cols>
  <sheetData>
    <row r="2" spans="2:8" x14ac:dyDescent="0.2">
      <c r="B2" s="3" t="s">
        <v>96</v>
      </c>
      <c r="C2" s="6" t="s">
        <v>4</v>
      </c>
      <c r="D2" s="6" t="s">
        <v>167</v>
      </c>
      <c r="E2" s="6" t="s">
        <v>172</v>
      </c>
      <c r="G2" s="3" t="s">
        <v>96</v>
      </c>
      <c r="H2" s="44" t="s">
        <v>172</v>
      </c>
    </row>
    <row r="3" spans="2:8" x14ac:dyDescent="0.2">
      <c r="B3" s="16">
        <v>33573</v>
      </c>
      <c r="C3" s="9">
        <v>153</v>
      </c>
      <c r="D3" s="37">
        <v>55.9</v>
      </c>
      <c r="E3" s="45">
        <f t="shared" ref="E3:E66" si="0">C3*($D$105/D3)</f>
        <v>330.08586762075134</v>
      </c>
      <c r="G3" s="16">
        <v>33573</v>
      </c>
      <c r="H3" s="44">
        <v>330.08586762075134</v>
      </c>
    </row>
    <row r="4" spans="2:8" x14ac:dyDescent="0.2">
      <c r="B4" s="16">
        <v>33664</v>
      </c>
      <c r="C4" s="9">
        <v>150</v>
      </c>
      <c r="D4" s="37">
        <v>54.8</v>
      </c>
      <c r="E4" s="45">
        <f t="shared" si="0"/>
        <v>330.1094890510949</v>
      </c>
      <c r="G4" s="16">
        <v>33664</v>
      </c>
      <c r="H4" s="44">
        <v>330.1094890510949</v>
      </c>
    </row>
    <row r="5" spans="2:8" x14ac:dyDescent="0.2">
      <c r="B5" s="16">
        <v>33756</v>
      </c>
      <c r="C5" s="9">
        <v>154</v>
      </c>
      <c r="D5" s="37">
        <v>54</v>
      </c>
      <c r="E5" s="45">
        <f t="shared" si="0"/>
        <v>343.93333333333334</v>
      </c>
      <c r="G5" s="16">
        <v>33756</v>
      </c>
      <c r="H5" s="44">
        <v>343.93333333333334</v>
      </c>
    </row>
    <row r="6" spans="2:8" x14ac:dyDescent="0.2">
      <c r="B6" s="16">
        <v>33848</v>
      </c>
      <c r="C6" s="9">
        <v>159</v>
      </c>
      <c r="D6" s="37">
        <v>53.3</v>
      </c>
      <c r="E6" s="45">
        <f t="shared" si="0"/>
        <v>359.76360225140712</v>
      </c>
      <c r="G6" s="16">
        <v>33848</v>
      </c>
      <c r="H6" s="44">
        <v>359.76360225140712</v>
      </c>
    </row>
    <row r="7" spans="2:8" x14ac:dyDescent="0.2">
      <c r="B7" s="16">
        <v>33939</v>
      </c>
      <c r="C7" s="9">
        <v>160</v>
      </c>
      <c r="D7" s="37">
        <v>53</v>
      </c>
      <c r="E7" s="45">
        <f t="shared" si="0"/>
        <v>364.07547169811318</v>
      </c>
      <c r="G7" s="16">
        <v>33939</v>
      </c>
      <c r="H7" s="44">
        <v>364.07547169811318</v>
      </c>
    </row>
    <row r="8" spans="2:8" x14ac:dyDescent="0.2">
      <c r="B8" s="16">
        <v>34029</v>
      </c>
      <c r="C8" s="9">
        <v>164</v>
      </c>
      <c r="D8" s="37">
        <v>53.3</v>
      </c>
      <c r="E8" s="45">
        <f t="shared" si="0"/>
        <v>371.07692307692304</v>
      </c>
      <c r="G8" s="16">
        <v>34029</v>
      </c>
      <c r="H8" s="44">
        <v>371.07692307692304</v>
      </c>
    </row>
    <row r="9" spans="2:8" x14ac:dyDescent="0.2">
      <c r="B9" s="16">
        <v>34121</v>
      </c>
      <c r="C9" s="9">
        <v>149</v>
      </c>
      <c r="D9" s="37">
        <v>53.7</v>
      </c>
      <c r="E9" s="45">
        <f t="shared" si="0"/>
        <v>334.62569832402232</v>
      </c>
      <c r="G9" s="16">
        <v>34121</v>
      </c>
      <c r="H9" s="44">
        <v>334.62569832402232</v>
      </c>
    </row>
    <row r="10" spans="2:8" x14ac:dyDescent="0.2">
      <c r="B10" s="16">
        <v>34213</v>
      </c>
      <c r="C10" s="9">
        <v>153</v>
      </c>
      <c r="D10" s="37">
        <v>53.7</v>
      </c>
      <c r="E10" s="45">
        <f t="shared" si="0"/>
        <v>343.60893854748605</v>
      </c>
      <c r="G10" s="16">
        <v>34213</v>
      </c>
      <c r="H10" s="44">
        <v>343.60893854748605</v>
      </c>
    </row>
    <row r="11" spans="2:8" x14ac:dyDescent="0.2">
      <c r="B11" s="16">
        <v>34304</v>
      </c>
      <c r="C11" s="9">
        <v>153</v>
      </c>
      <c r="D11" s="37">
        <v>52.8</v>
      </c>
      <c r="E11" s="45">
        <f t="shared" si="0"/>
        <v>349.46590909090912</v>
      </c>
      <c r="G11" s="16">
        <v>34304</v>
      </c>
      <c r="H11" s="44">
        <v>349.46590909090912</v>
      </c>
    </row>
    <row r="12" spans="2:8" x14ac:dyDescent="0.2">
      <c r="B12" s="16">
        <v>34394</v>
      </c>
      <c r="C12" s="9">
        <v>153</v>
      </c>
      <c r="D12" s="37">
        <v>52.9</v>
      </c>
      <c r="E12" s="45">
        <f t="shared" si="0"/>
        <v>348.8052930056711</v>
      </c>
      <c r="G12" s="16">
        <v>34394</v>
      </c>
      <c r="H12" s="44">
        <v>348.8052930056711</v>
      </c>
    </row>
    <row r="13" spans="2:8" x14ac:dyDescent="0.2">
      <c r="B13" s="16">
        <v>34486</v>
      </c>
      <c r="C13" s="9">
        <v>157</v>
      </c>
      <c r="D13" s="37">
        <v>53.5</v>
      </c>
      <c r="E13" s="45">
        <f t="shared" si="0"/>
        <v>353.91028037383177</v>
      </c>
      <c r="G13" s="16">
        <v>34486</v>
      </c>
      <c r="H13" s="44">
        <v>353.91028037383177</v>
      </c>
    </row>
    <row r="14" spans="2:8" x14ac:dyDescent="0.2">
      <c r="B14" s="16">
        <v>34578</v>
      </c>
      <c r="C14" s="9">
        <v>164</v>
      </c>
      <c r="D14" s="37">
        <v>54</v>
      </c>
      <c r="E14" s="45">
        <f t="shared" si="0"/>
        <v>366.26666666666665</v>
      </c>
      <c r="G14" s="16">
        <v>34578</v>
      </c>
      <c r="H14" s="44">
        <v>366.26666666666665</v>
      </c>
    </row>
    <row r="15" spans="2:8" x14ac:dyDescent="0.2">
      <c r="B15" s="16">
        <v>34669</v>
      </c>
      <c r="C15" s="9">
        <v>159</v>
      </c>
      <c r="D15" s="37">
        <v>55.3</v>
      </c>
      <c r="E15" s="45">
        <f t="shared" si="0"/>
        <v>346.75226039783001</v>
      </c>
      <c r="G15" s="16">
        <v>34669</v>
      </c>
      <c r="H15" s="44">
        <v>346.75226039783001</v>
      </c>
    </row>
    <row r="16" spans="2:8" x14ac:dyDescent="0.2">
      <c r="B16" s="16">
        <v>34759</v>
      </c>
      <c r="C16" s="9">
        <v>163</v>
      </c>
      <c r="D16" s="37">
        <v>58.3</v>
      </c>
      <c r="E16" s="45">
        <f t="shared" si="0"/>
        <v>337.1835334476844</v>
      </c>
      <c r="G16" s="16">
        <v>34759</v>
      </c>
      <c r="H16" s="44">
        <v>337.1835334476844</v>
      </c>
    </row>
    <row r="17" spans="2:8" x14ac:dyDescent="0.2">
      <c r="B17" s="16">
        <v>34851</v>
      </c>
      <c r="C17" s="9">
        <v>160</v>
      </c>
      <c r="D17" s="37">
        <v>59.5</v>
      </c>
      <c r="E17" s="45">
        <f t="shared" si="0"/>
        <v>324.30252100840335</v>
      </c>
      <c r="G17" s="16">
        <v>34851</v>
      </c>
      <c r="H17" s="44">
        <v>324.30252100840335</v>
      </c>
    </row>
    <row r="18" spans="2:8" x14ac:dyDescent="0.2">
      <c r="B18" s="16">
        <v>34943</v>
      </c>
      <c r="C18" s="9">
        <v>164</v>
      </c>
      <c r="D18" s="37">
        <v>60</v>
      </c>
      <c r="E18" s="45">
        <f t="shared" si="0"/>
        <v>329.64</v>
      </c>
      <c r="G18" s="16">
        <v>34943</v>
      </c>
      <c r="H18" s="44">
        <v>329.64</v>
      </c>
    </row>
    <row r="19" spans="2:8" x14ac:dyDescent="0.2">
      <c r="B19" s="16">
        <v>35034</v>
      </c>
      <c r="C19" s="9">
        <v>156</v>
      </c>
      <c r="D19" s="37">
        <v>60.5</v>
      </c>
      <c r="E19" s="45">
        <f t="shared" si="0"/>
        <v>310.96859504132232</v>
      </c>
      <c r="G19" s="16">
        <v>35034</v>
      </c>
      <c r="H19" s="44">
        <v>310.96859504132232</v>
      </c>
    </row>
    <row r="20" spans="2:8" x14ac:dyDescent="0.2">
      <c r="B20" s="16">
        <v>35125</v>
      </c>
      <c r="C20" s="9">
        <v>162</v>
      </c>
      <c r="D20" s="37">
        <v>61</v>
      </c>
      <c r="E20" s="45">
        <f t="shared" si="0"/>
        <v>320.28196721311474</v>
      </c>
      <c r="G20" s="16">
        <v>35125</v>
      </c>
      <c r="H20" s="44">
        <v>320.28196721311474</v>
      </c>
    </row>
    <row r="21" spans="2:8" x14ac:dyDescent="0.2">
      <c r="B21" s="16">
        <v>35217</v>
      </c>
      <c r="C21" s="9">
        <v>160</v>
      </c>
      <c r="D21" s="37">
        <v>61.4</v>
      </c>
      <c r="E21" s="45">
        <f t="shared" si="0"/>
        <v>314.26710097719871</v>
      </c>
      <c r="G21" s="16">
        <v>35217</v>
      </c>
      <c r="H21" s="44">
        <v>314.26710097719871</v>
      </c>
    </row>
    <row r="22" spans="2:8" x14ac:dyDescent="0.2">
      <c r="B22" s="16">
        <v>35309</v>
      </c>
      <c r="C22" s="9">
        <v>170</v>
      </c>
      <c r="D22" s="37">
        <v>61.6</v>
      </c>
      <c r="E22" s="45">
        <f t="shared" si="0"/>
        <v>332.8246753246753</v>
      </c>
      <c r="G22" s="16">
        <v>35309</v>
      </c>
      <c r="H22" s="44">
        <v>332.8246753246753</v>
      </c>
    </row>
    <row r="23" spans="2:8" x14ac:dyDescent="0.2">
      <c r="B23" s="16">
        <v>35400</v>
      </c>
      <c r="C23" s="9">
        <v>170</v>
      </c>
      <c r="D23" s="37">
        <v>60.1</v>
      </c>
      <c r="E23" s="45">
        <f t="shared" si="0"/>
        <v>341.13144758735439</v>
      </c>
      <c r="G23" s="16">
        <v>35400</v>
      </c>
      <c r="H23" s="44">
        <v>341.13144758735439</v>
      </c>
    </row>
    <row r="24" spans="2:8" x14ac:dyDescent="0.2">
      <c r="B24" s="16">
        <v>35490</v>
      </c>
      <c r="C24" s="9">
        <v>175</v>
      </c>
      <c r="D24" s="37">
        <v>58.6</v>
      </c>
      <c r="E24" s="45">
        <f t="shared" si="0"/>
        <v>360.15358361774742</v>
      </c>
      <c r="G24" s="16">
        <v>35490</v>
      </c>
      <c r="H24" s="44">
        <v>360.15358361774742</v>
      </c>
    </row>
    <row r="25" spans="2:8" x14ac:dyDescent="0.2">
      <c r="B25" s="16">
        <v>35582</v>
      </c>
      <c r="C25" s="9">
        <v>196</v>
      </c>
      <c r="D25" s="37">
        <v>56.8</v>
      </c>
      <c r="E25" s="45">
        <f t="shared" si="0"/>
        <v>416.15492957746483</v>
      </c>
      <c r="G25" s="16">
        <v>35582</v>
      </c>
      <c r="H25" s="44">
        <v>416.15492957746483</v>
      </c>
    </row>
    <row r="26" spans="2:8" x14ac:dyDescent="0.2">
      <c r="B26" s="16">
        <v>35674</v>
      </c>
      <c r="C26" s="9">
        <v>207</v>
      </c>
      <c r="D26" s="37">
        <v>56.6</v>
      </c>
      <c r="E26" s="45">
        <f t="shared" si="0"/>
        <v>441.0636042402827</v>
      </c>
      <c r="G26" s="16">
        <v>35674</v>
      </c>
      <c r="H26" s="44">
        <v>441.0636042402827</v>
      </c>
    </row>
    <row r="27" spans="2:8" x14ac:dyDescent="0.2">
      <c r="B27" s="16">
        <v>35765</v>
      </c>
      <c r="C27" s="9">
        <v>214</v>
      </c>
      <c r="D27" s="37">
        <v>55.9</v>
      </c>
      <c r="E27" s="45">
        <f t="shared" si="0"/>
        <v>461.68872987477641</v>
      </c>
      <c r="G27" s="16">
        <v>35765</v>
      </c>
      <c r="H27" s="44">
        <v>461.68872987477641</v>
      </c>
    </row>
    <row r="28" spans="2:8" x14ac:dyDescent="0.2">
      <c r="B28" s="16">
        <v>35855</v>
      </c>
      <c r="C28" s="9">
        <v>193</v>
      </c>
      <c r="D28" s="37">
        <v>56</v>
      </c>
      <c r="E28" s="45">
        <f t="shared" si="0"/>
        <v>415.63928571428568</v>
      </c>
      <c r="G28" s="16">
        <v>35855</v>
      </c>
      <c r="H28" s="44">
        <v>415.63928571428568</v>
      </c>
    </row>
    <row r="29" spans="2:8" x14ac:dyDescent="0.2">
      <c r="B29" s="16">
        <v>35947</v>
      </c>
      <c r="C29" s="9">
        <v>216</v>
      </c>
      <c r="D29" s="37">
        <v>56.6</v>
      </c>
      <c r="E29" s="45">
        <f t="shared" si="0"/>
        <v>460.2402826855124</v>
      </c>
      <c r="G29" s="16">
        <v>35947</v>
      </c>
      <c r="H29" s="44">
        <v>460.2402826855124</v>
      </c>
    </row>
    <row r="30" spans="2:8" x14ac:dyDescent="0.2">
      <c r="B30" s="16">
        <v>36039</v>
      </c>
      <c r="C30" s="9">
        <v>200</v>
      </c>
      <c r="D30" s="37">
        <v>57.2</v>
      </c>
      <c r="E30" s="45">
        <f t="shared" si="0"/>
        <v>421.67832167832165</v>
      </c>
      <c r="G30" s="16">
        <v>36039</v>
      </c>
      <c r="H30" s="44">
        <v>421.67832167832165</v>
      </c>
    </row>
    <row r="31" spans="2:8" x14ac:dyDescent="0.2">
      <c r="B31" s="16">
        <v>36130</v>
      </c>
      <c r="C31" s="9">
        <v>225</v>
      </c>
      <c r="D31" s="37">
        <v>57.3</v>
      </c>
      <c r="E31" s="45">
        <f t="shared" si="0"/>
        <v>473.56020942408372</v>
      </c>
      <c r="G31" s="16">
        <v>36130</v>
      </c>
      <c r="H31" s="44">
        <v>473.56020942408372</v>
      </c>
    </row>
    <row r="32" spans="2:8" x14ac:dyDescent="0.2">
      <c r="B32" s="16">
        <v>36220</v>
      </c>
      <c r="C32" s="9">
        <v>225</v>
      </c>
      <c r="D32" s="37">
        <v>58</v>
      </c>
      <c r="E32" s="45">
        <f t="shared" si="0"/>
        <v>467.84482758620686</v>
      </c>
      <c r="G32" s="16">
        <v>36220</v>
      </c>
      <c r="H32" s="44">
        <v>467.84482758620686</v>
      </c>
    </row>
    <row r="33" spans="2:8" x14ac:dyDescent="0.2">
      <c r="B33" s="16">
        <v>36312</v>
      </c>
      <c r="C33" s="9">
        <v>227</v>
      </c>
      <c r="D33" s="37">
        <v>58.2</v>
      </c>
      <c r="E33" s="45">
        <f t="shared" si="0"/>
        <v>470.38144329896903</v>
      </c>
      <c r="G33" s="16">
        <v>36312</v>
      </c>
      <c r="H33" s="44">
        <v>470.38144329896903</v>
      </c>
    </row>
    <row r="34" spans="2:8" x14ac:dyDescent="0.2">
      <c r="B34" s="16">
        <v>36404</v>
      </c>
      <c r="C34" s="9">
        <v>221</v>
      </c>
      <c r="D34" s="37">
        <v>59.1</v>
      </c>
      <c r="E34" s="45">
        <f t="shared" si="0"/>
        <v>450.97461928934001</v>
      </c>
      <c r="G34" s="16">
        <v>36404</v>
      </c>
      <c r="H34" s="44">
        <v>450.97461928934001</v>
      </c>
    </row>
    <row r="35" spans="2:8" x14ac:dyDescent="0.2">
      <c r="B35" s="16">
        <v>36495</v>
      </c>
      <c r="C35" s="9">
        <v>230</v>
      </c>
      <c r="D35" s="37">
        <v>59.9</v>
      </c>
      <c r="E35" s="45">
        <f t="shared" si="0"/>
        <v>463.0717863105175</v>
      </c>
      <c r="G35" s="16">
        <v>36495</v>
      </c>
      <c r="H35" s="44">
        <v>463.0717863105175</v>
      </c>
    </row>
    <row r="36" spans="2:8" x14ac:dyDescent="0.2">
      <c r="B36" s="16">
        <v>36586</v>
      </c>
      <c r="C36" s="9">
        <v>248</v>
      </c>
      <c r="D36" s="37">
        <v>60.6</v>
      </c>
      <c r="E36" s="45">
        <f t="shared" si="0"/>
        <v>493.54455445544551</v>
      </c>
      <c r="G36" s="16">
        <v>36586</v>
      </c>
      <c r="H36" s="44">
        <v>493.54455445544551</v>
      </c>
    </row>
    <row r="37" spans="2:8" x14ac:dyDescent="0.2">
      <c r="B37" s="16">
        <v>36678</v>
      </c>
      <c r="C37" s="9">
        <v>245</v>
      </c>
      <c r="D37" s="37">
        <v>61.2</v>
      </c>
      <c r="E37" s="45">
        <f t="shared" si="0"/>
        <v>482.79411764705878</v>
      </c>
      <c r="G37" s="16">
        <v>36678</v>
      </c>
      <c r="H37" s="44">
        <v>482.79411764705878</v>
      </c>
    </row>
    <row r="38" spans="2:8" x14ac:dyDescent="0.2">
      <c r="B38" s="16">
        <v>36770</v>
      </c>
      <c r="C38" s="9">
        <v>240</v>
      </c>
      <c r="D38" s="37">
        <v>64.7</v>
      </c>
      <c r="E38" s="45">
        <f t="shared" si="0"/>
        <v>447.35703245749608</v>
      </c>
      <c r="G38" s="16">
        <v>36770</v>
      </c>
      <c r="H38" s="44">
        <v>447.35703245749608</v>
      </c>
    </row>
    <row r="39" spans="2:8" x14ac:dyDescent="0.2">
      <c r="B39" s="16">
        <v>36861</v>
      </c>
      <c r="C39" s="9">
        <v>255</v>
      </c>
      <c r="D39" s="37">
        <v>64.8</v>
      </c>
      <c r="E39" s="45">
        <f t="shared" si="0"/>
        <v>474.58333333333337</v>
      </c>
      <c r="G39" s="16">
        <v>36861</v>
      </c>
      <c r="H39" s="44">
        <v>474.58333333333337</v>
      </c>
    </row>
    <row r="40" spans="2:8" x14ac:dyDescent="0.2">
      <c r="B40" s="16">
        <v>36951</v>
      </c>
      <c r="C40" s="9">
        <v>261</v>
      </c>
      <c r="D40" s="37">
        <v>65</v>
      </c>
      <c r="E40" s="45">
        <f t="shared" si="0"/>
        <v>484.25538461538457</v>
      </c>
      <c r="G40" s="16">
        <v>36951</v>
      </c>
      <c r="H40" s="44">
        <v>484.25538461538457</v>
      </c>
    </row>
    <row r="41" spans="2:8" x14ac:dyDescent="0.2">
      <c r="B41" s="16">
        <v>37043</v>
      </c>
      <c r="C41" s="9">
        <v>299</v>
      </c>
      <c r="D41" s="37">
        <v>65.400000000000006</v>
      </c>
      <c r="E41" s="45">
        <f t="shared" si="0"/>
        <v>551.36697247706422</v>
      </c>
      <c r="G41" s="16">
        <v>37043</v>
      </c>
      <c r="H41" s="44">
        <v>551.36697247706422</v>
      </c>
    </row>
    <row r="42" spans="2:8" x14ac:dyDescent="0.2">
      <c r="B42" s="16">
        <v>37135</v>
      </c>
      <c r="C42" s="9">
        <v>295</v>
      </c>
      <c r="D42" s="37">
        <v>66</v>
      </c>
      <c r="E42" s="45">
        <f t="shared" si="0"/>
        <v>539.0454545454545</v>
      </c>
      <c r="G42" s="16">
        <v>37135</v>
      </c>
      <c r="H42" s="44">
        <v>539.0454545454545</v>
      </c>
    </row>
    <row r="43" spans="2:8" x14ac:dyDescent="0.2">
      <c r="B43" s="16">
        <v>37226</v>
      </c>
      <c r="C43" s="9">
        <v>315</v>
      </c>
      <c r="D43" s="37">
        <v>66.400000000000006</v>
      </c>
      <c r="E43" s="45">
        <f t="shared" si="0"/>
        <v>572.12349397590356</v>
      </c>
      <c r="G43" s="16">
        <v>37226</v>
      </c>
      <c r="H43" s="44">
        <v>572.12349397590356</v>
      </c>
    </row>
    <row r="44" spans="2:8" x14ac:dyDescent="0.2">
      <c r="B44" s="16">
        <v>37316</v>
      </c>
      <c r="C44" s="9">
        <v>310</v>
      </c>
      <c r="D44" s="37">
        <v>66.7</v>
      </c>
      <c r="E44" s="45">
        <f t="shared" si="0"/>
        <v>560.50974512743619</v>
      </c>
      <c r="G44" s="16">
        <v>37316</v>
      </c>
      <c r="H44" s="44">
        <v>560.50974512743619</v>
      </c>
    </row>
    <row r="45" spans="2:8" x14ac:dyDescent="0.2">
      <c r="B45" s="16">
        <v>37408</v>
      </c>
      <c r="C45" s="9">
        <v>356</v>
      </c>
      <c r="D45" s="37">
        <v>67.2</v>
      </c>
      <c r="E45" s="45">
        <f t="shared" si="0"/>
        <v>638.89285714285711</v>
      </c>
      <c r="G45" s="16">
        <v>37408</v>
      </c>
      <c r="H45" s="44">
        <v>638.89285714285711</v>
      </c>
    </row>
    <row r="46" spans="2:8" x14ac:dyDescent="0.2">
      <c r="B46" s="16">
        <v>37500</v>
      </c>
      <c r="C46" s="9">
        <v>390</v>
      </c>
      <c r="D46" s="37">
        <v>67.900000000000006</v>
      </c>
      <c r="E46" s="45">
        <f t="shared" si="0"/>
        <v>692.69513991163467</v>
      </c>
      <c r="G46" s="16">
        <v>37500</v>
      </c>
      <c r="H46" s="44">
        <v>692.69513991163467</v>
      </c>
    </row>
    <row r="47" spans="2:8" x14ac:dyDescent="0.2">
      <c r="B47" s="16">
        <v>37591</v>
      </c>
      <c r="C47" s="9">
        <v>362</v>
      </c>
      <c r="D47" s="37">
        <v>68.099999999999994</v>
      </c>
      <c r="E47" s="45">
        <f t="shared" si="0"/>
        <v>641.07488986784142</v>
      </c>
      <c r="G47" s="16">
        <v>37591</v>
      </c>
      <c r="H47" s="44">
        <v>641.07488986784142</v>
      </c>
    </row>
    <row r="48" spans="2:8" x14ac:dyDescent="0.2">
      <c r="B48" s="16">
        <v>37681</v>
      </c>
      <c r="C48" s="9">
        <v>350</v>
      </c>
      <c r="D48" s="37">
        <v>68.400000000000006</v>
      </c>
      <c r="E48" s="45">
        <f t="shared" si="0"/>
        <v>617.10526315789468</v>
      </c>
      <c r="G48" s="16">
        <v>37681</v>
      </c>
      <c r="H48" s="44">
        <v>617.10526315789468</v>
      </c>
    </row>
    <row r="49" spans="2:8" x14ac:dyDescent="0.2">
      <c r="B49" s="16">
        <v>37773</v>
      </c>
      <c r="C49" s="9">
        <v>345</v>
      </c>
      <c r="D49" s="37">
        <v>68.900000000000006</v>
      </c>
      <c r="E49" s="45">
        <f t="shared" si="0"/>
        <v>603.87518142235115</v>
      </c>
      <c r="G49" s="16">
        <v>37773</v>
      </c>
      <c r="H49" s="44">
        <v>603.87518142235115</v>
      </c>
    </row>
    <row r="50" spans="2:8" x14ac:dyDescent="0.2">
      <c r="B50" s="16">
        <v>37865</v>
      </c>
      <c r="C50" s="9">
        <v>375</v>
      </c>
      <c r="D50" s="37">
        <v>69.900000000000006</v>
      </c>
      <c r="E50" s="45">
        <f t="shared" si="0"/>
        <v>646.99570815450636</v>
      </c>
      <c r="G50" s="16">
        <v>37865</v>
      </c>
      <c r="H50" s="44">
        <v>646.99570815450636</v>
      </c>
    </row>
    <row r="51" spans="2:8" x14ac:dyDescent="0.2">
      <c r="B51" s="16">
        <v>37956</v>
      </c>
      <c r="C51" s="9">
        <v>389</v>
      </c>
      <c r="D51" s="37">
        <v>70.099999999999994</v>
      </c>
      <c r="E51" s="45">
        <f t="shared" si="0"/>
        <v>669.23537803138379</v>
      </c>
      <c r="G51" s="16">
        <v>37956</v>
      </c>
      <c r="H51" s="44">
        <v>669.23537803138379</v>
      </c>
    </row>
    <row r="52" spans="2:8" x14ac:dyDescent="0.2">
      <c r="B52" s="16">
        <v>38047</v>
      </c>
      <c r="C52" s="9">
        <v>360</v>
      </c>
      <c r="D52" s="37">
        <v>70.5</v>
      </c>
      <c r="E52" s="45">
        <f t="shared" si="0"/>
        <v>615.82978723404256</v>
      </c>
      <c r="G52" s="16">
        <v>38047</v>
      </c>
      <c r="H52" s="44">
        <v>615.82978723404256</v>
      </c>
    </row>
    <row r="53" spans="2:8" x14ac:dyDescent="0.2">
      <c r="B53" s="16">
        <v>38139</v>
      </c>
      <c r="C53" s="9">
        <v>350</v>
      </c>
      <c r="D53" s="37">
        <v>71.099999999999994</v>
      </c>
      <c r="E53" s="45">
        <f t="shared" si="0"/>
        <v>593.6708860759494</v>
      </c>
      <c r="G53" s="16">
        <v>38139</v>
      </c>
      <c r="H53" s="44">
        <v>593.6708860759494</v>
      </c>
    </row>
    <row r="54" spans="2:8" x14ac:dyDescent="0.2">
      <c r="B54" s="16">
        <v>38231</v>
      </c>
      <c r="C54" s="9">
        <v>345</v>
      </c>
      <c r="D54" s="37">
        <v>72.3</v>
      </c>
      <c r="E54" s="45">
        <f t="shared" si="0"/>
        <v>575.47717842323652</v>
      </c>
      <c r="G54" s="16">
        <v>38231</v>
      </c>
      <c r="H54" s="44">
        <v>575.47717842323652</v>
      </c>
    </row>
    <row r="55" spans="2:8" x14ac:dyDescent="0.2">
      <c r="B55" s="16">
        <v>38322</v>
      </c>
      <c r="C55" s="9">
        <v>350</v>
      </c>
      <c r="D55" s="37">
        <v>72.8</v>
      </c>
      <c r="E55" s="45">
        <f t="shared" si="0"/>
        <v>579.80769230769226</v>
      </c>
      <c r="G55" s="16">
        <v>38322</v>
      </c>
      <c r="H55" s="44">
        <v>579.80769230769226</v>
      </c>
    </row>
    <row r="56" spans="2:8" x14ac:dyDescent="0.2">
      <c r="B56" s="16">
        <v>38412</v>
      </c>
      <c r="C56" s="9">
        <v>370</v>
      </c>
      <c r="D56" s="37">
        <v>73.2</v>
      </c>
      <c r="E56" s="45">
        <f t="shared" si="0"/>
        <v>609.59016393442619</v>
      </c>
      <c r="G56" s="16">
        <v>38412</v>
      </c>
      <c r="H56" s="44">
        <v>609.59016393442619</v>
      </c>
    </row>
    <row r="57" spans="2:8" x14ac:dyDescent="0.2">
      <c r="B57" s="16">
        <v>38504</v>
      </c>
      <c r="C57" s="9">
        <v>350</v>
      </c>
      <c r="D57" s="37">
        <v>73.7</v>
      </c>
      <c r="E57" s="45">
        <f t="shared" si="0"/>
        <v>572.72727272727263</v>
      </c>
      <c r="G57" s="16">
        <v>38504</v>
      </c>
      <c r="H57" s="44">
        <v>572.72727272727263</v>
      </c>
    </row>
    <row r="58" spans="2:8" x14ac:dyDescent="0.2">
      <c r="B58" s="16">
        <v>38596</v>
      </c>
      <c r="C58" s="9">
        <v>370</v>
      </c>
      <c r="D58" s="37">
        <v>74.599999999999994</v>
      </c>
      <c r="E58" s="45">
        <f t="shared" si="0"/>
        <v>598.15013404825731</v>
      </c>
      <c r="G58" s="16">
        <v>38596</v>
      </c>
      <c r="H58" s="44">
        <v>598.15013404825731</v>
      </c>
    </row>
    <row r="59" spans="2:8" x14ac:dyDescent="0.2">
      <c r="B59" s="16">
        <v>38687</v>
      </c>
      <c r="C59" s="9">
        <v>375</v>
      </c>
      <c r="D59" s="37">
        <v>75</v>
      </c>
      <c r="E59" s="45">
        <f t="shared" si="0"/>
        <v>603</v>
      </c>
      <c r="G59" s="16">
        <v>38687</v>
      </c>
      <c r="H59" s="44">
        <v>603</v>
      </c>
    </row>
    <row r="60" spans="2:8" x14ac:dyDescent="0.2">
      <c r="B60" s="16">
        <v>38777</v>
      </c>
      <c r="C60" s="9">
        <v>395</v>
      </c>
      <c r="D60" s="37">
        <v>75.2</v>
      </c>
      <c r="E60" s="45">
        <f t="shared" si="0"/>
        <v>633.470744680851</v>
      </c>
      <c r="G60" s="16">
        <v>38777</v>
      </c>
      <c r="H60" s="44">
        <v>633.470744680851</v>
      </c>
    </row>
    <row r="61" spans="2:8" x14ac:dyDescent="0.2">
      <c r="B61" s="16">
        <v>38869</v>
      </c>
      <c r="C61" s="9">
        <v>386</v>
      </c>
      <c r="D61" s="37">
        <v>75.599999999999994</v>
      </c>
      <c r="E61" s="45">
        <f t="shared" si="0"/>
        <v>615.76190476190482</v>
      </c>
      <c r="G61" s="16">
        <v>38869</v>
      </c>
      <c r="H61" s="44">
        <v>615.76190476190482</v>
      </c>
    </row>
    <row r="62" spans="2:8" x14ac:dyDescent="0.2">
      <c r="B62" s="16">
        <v>38961</v>
      </c>
      <c r="C62" s="9">
        <v>339</v>
      </c>
      <c r="D62" s="37">
        <v>76.599999999999994</v>
      </c>
      <c r="E62" s="45">
        <f t="shared" si="0"/>
        <v>533.72584856396861</v>
      </c>
      <c r="G62" s="16">
        <v>38961</v>
      </c>
      <c r="H62" s="44">
        <v>533.72584856396861</v>
      </c>
    </row>
    <row r="63" spans="2:8" x14ac:dyDescent="0.2">
      <c r="B63" s="16">
        <v>39052</v>
      </c>
      <c r="C63" s="9">
        <v>375</v>
      </c>
      <c r="D63" s="37">
        <v>76.8</v>
      </c>
      <c r="E63" s="45">
        <f t="shared" si="0"/>
        <v>588.8671875</v>
      </c>
      <c r="G63" s="16">
        <v>39052</v>
      </c>
      <c r="H63" s="44">
        <v>588.8671875</v>
      </c>
    </row>
    <row r="64" spans="2:8" x14ac:dyDescent="0.2">
      <c r="B64" s="16">
        <v>39142</v>
      </c>
      <c r="C64" s="9">
        <v>350</v>
      </c>
      <c r="D64" s="37">
        <v>77.2</v>
      </c>
      <c r="E64" s="45">
        <f t="shared" si="0"/>
        <v>546.76165803108802</v>
      </c>
      <c r="G64" s="16">
        <v>39142</v>
      </c>
      <c r="H64" s="44">
        <v>546.76165803108802</v>
      </c>
    </row>
    <row r="65" spans="2:8" x14ac:dyDescent="0.2">
      <c r="B65" s="16">
        <v>39234</v>
      </c>
      <c r="C65" s="9">
        <v>400</v>
      </c>
      <c r="D65" s="37">
        <v>77.900000000000006</v>
      </c>
      <c r="E65" s="45">
        <f t="shared" si="0"/>
        <v>619.25545571245175</v>
      </c>
      <c r="G65" s="16">
        <v>39234</v>
      </c>
      <c r="H65" s="44">
        <v>619.25545571245175</v>
      </c>
    </row>
    <row r="66" spans="2:8" x14ac:dyDescent="0.2">
      <c r="B66" s="16">
        <v>39326</v>
      </c>
      <c r="C66" s="9">
        <v>400</v>
      </c>
      <c r="D66" s="37">
        <v>79.400000000000006</v>
      </c>
      <c r="E66" s="45">
        <f t="shared" si="0"/>
        <v>607.5566750629722</v>
      </c>
      <c r="G66" s="16">
        <v>39326</v>
      </c>
      <c r="H66" s="44">
        <v>607.5566750629722</v>
      </c>
    </row>
    <row r="67" spans="2:8" x14ac:dyDescent="0.2">
      <c r="B67" s="16">
        <v>39417</v>
      </c>
      <c r="C67" s="9">
        <v>400</v>
      </c>
      <c r="D67" s="37">
        <v>80</v>
      </c>
      <c r="E67" s="45">
        <f t="shared" ref="E67:E103" si="1">C67*($D$105/D67)</f>
        <v>602.99999999999989</v>
      </c>
      <c r="G67" s="16">
        <v>39417</v>
      </c>
      <c r="H67" s="44">
        <v>602.99999999999989</v>
      </c>
    </row>
    <row r="68" spans="2:8" x14ac:dyDescent="0.2">
      <c r="B68" s="16">
        <v>39508</v>
      </c>
      <c r="C68" s="9">
        <v>389</v>
      </c>
      <c r="D68" s="37">
        <v>81.2</v>
      </c>
      <c r="E68" s="45">
        <f t="shared" si="1"/>
        <v>577.75123152709352</v>
      </c>
      <c r="G68" s="16">
        <v>39508</v>
      </c>
      <c r="H68" s="44">
        <v>577.75123152709352</v>
      </c>
    </row>
    <row r="69" spans="2:8" x14ac:dyDescent="0.2">
      <c r="B69" s="16">
        <v>39600</v>
      </c>
      <c r="C69" s="9">
        <v>405</v>
      </c>
      <c r="D69" s="37">
        <v>82.4</v>
      </c>
      <c r="E69" s="45">
        <f t="shared" si="1"/>
        <v>592.754854368932</v>
      </c>
      <c r="G69" s="16">
        <v>39600</v>
      </c>
      <c r="H69" s="44">
        <v>592.754854368932</v>
      </c>
    </row>
    <row r="70" spans="2:8" x14ac:dyDescent="0.2">
      <c r="B70" s="16">
        <v>39692</v>
      </c>
      <c r="C70" s="9">
        <v>390</v>
      </c>
      <c r="D70" s="37">
        <v>84.4</v>
      </c>
      <c r="E70" s="45">
        <f t="shared" si="1"/>
        <v>557.27488151658758</v>
      </c>
      <c r="G70" s="16">
        <v>39692</v>
      </c>
      <c r="H70" s="44">
        <v>557.27488151658758</v>
      </c>
    </row>
    <row r="71" spans="2:8" x14ac:dyDescent="0.2">
      <c r="B71" s="16">
        <v>39783</v>
      </c>
      <c r="C71" s="9">
        <v>380</v>
      </c>
      <c r="D71" s="37">
        <v>85.3</v>
      </c>
      <c r="E71" s="45">
        <f t="shared" si="1"/>
        <v>537.25674091441965</v>
      </c>
      <c r="G71" s="16">
        <v>39783</v>
      </c>
      <c r="H71" s="44">
        <v>537.25674091441965</v>
      </c>
    </row>
    <row r="72" spans="2:8" x14ac:dyDescent="0.2">
      <c r="B72" s="16">
        <v>39873</v>
      </c>
      <c r="C72" s="9">
        <v>420</v>
      </c>
      <c r="D72" s="37">
        <v>85.9</v>
      </c>
      <c r="E72" s="45">
        <f t="shared" si="1"/>
        <v>589.662398137369</v>
      </c>
      <c r="G72" s="16">
        <v>39873</v>
      </c>
      <c r="H72" s="44">
        <v>589.662398137369</v>
      </c>
    </row>
    <row r="73" spans="2:8" x14ac:dyDescent="0.2">
      <c r="B73" s="16">
        <v>39965</v>
      </c>
      <c r="C73" s="9">
        <v>430</v>
      </c>
      <c r="D73" s="37">
        <v>86.9</v>
      </c>
      <c r="E73" s="45">
        <f t="shared" si="1"/>
        <v>596.75489067894125</v>
      </c>
      <c r="G73" s="16">
        <v>39965</v>
      </c>
      <c r="H73" s="44">
        <v>596.75489067894125</v>
      </c>
    </row>
    <row r="74" spans="2:8" x14ac:dyDescent="0.2">
      <c r="B74" s="16">
        <v>40057</v>
      </c>
      <c r="C74" s="9">
        <v>421</v>
      </c>
      <c r="D74" s="37">
        <v>90.2</v>
      </c>
      <c r="E74" s="45">
        <f t="shared" si="1"/>
        <v>562.8891352549889</v>
      </c>
      <c r="G74" s="16">
        <v>40057</v>
      </c>
      <c r="H74" s="44">
        <v>562.8891352549889</v>
      </c>
    </row>
    <row r="75" spans="2:8" x14ac:dyDescent="0.2">
      <c r="B75" s="16">
        <v>40148</v>
      </c>
      <c r="C75" s="9">
        <v>440</v>
      </c>
      <c r="D75" s="37">
        <v>90.8</v>
      </c>
      <c r="E75" s="45">
        <f t="shared" si="1"/>
        <v>584.40528634361237</v>
      </c>
      <c r="G75" s="16">
        <v>40148</v>
      </c>
      <c r="H75" s="44">
        <v>584.40528634361237</v>
      </c>
    </row>
    <row r="76" spans="2:8" x14ac:dyDescent="0.2">
      <c r="B76" s="16">
        <v>40238</v>
      </c>
      <c r="C76" s="9">
        <v>485</v>
      </c>
      <c r="D76" s="37">
        <v>91.6</v>
      </c>
      <c r="E76" s="45">
        <f t="shared" si="1"/>
        <v>638.54803493449788</v>
      </c>
      <c r="G76" s="16">
        <v>40238</v>
      </c>
      <c r="H76" s="44">
        <v>638.54803493449788</v>
      </c>
    </row>
    <row r="77" spans="2:8" x14ac:dyDescent="0.2">
      <c r="B77" s="16">
        <v>40330</v>
      </c>
      <c r="C77" s="9">
        <v>495</v>
      </c>
      <c r="D77" s="37">
        <v>92.1</v>
      </c>
      <c r="E77" s="45">
        <f t="shared" si="1"/>
        <v>648.17589576547232</v>
      </c>
      <c r="G77" s="16">
        <v>40330</v>
      </c>
      <c r="H77" s="44">
        <v>648.17589576547232</v>
      </c>
    </row>
    <row r="78" spans="2:8" x14ac:dyDescent="0.2">
      <c r="B78" s="16">
        <v>40422</v>
      </c>
      <c r="C78" s="9">
        <v>457</v>
      </c>
      <c r="D78" s="37">
        <v>94.2</v>
      </c>
      <c r="E78" s="45">
        <f t="shared" si="1"/>
        <v>585.07643312101914</v>
      </c>
      <c r="G78" s="16">
        <v>40422</v>
      </c>
      <c r="H78" s="44">
        <v>585.07643312101914</v>
      </c>
    </row>
    <row r="79" spans="2:8" x14ac:dyDescent="0.2">
      <c r="B79" s="16">
        <v>40513</v>
      </c>
      <c r="C79" s="9">
        <v>480</v>
      </c>
      <c r="D79" s="37">
        <v>95</v>
      </c>
      <c r="E79" s="45">
        <f t="shared" si="1"/>
        <v>609.34736842105258</v>
      </c>
      <c r="G79" s="16">
        <v>40513</v>
      </c>
      <c r="H79" s="44">
        <v>609.34736842105258</v>
      </c>
    </row>
    <row r="80" spans="2:8" x14ac:dyDescent="0.2">
      <c r="B80" s="16">
        <v>40603</v>
      </c>
      <c r="C80" s="9">
        <v>447</v>
      </c>
      <c r="D80" s="37">
        <v>96</v>
      </c>
      <c r="E80" s="45">
        <f t="shared" si="1"/>
        <v>561.54374999999993</v>
      </c>
      <c r="G80" s="16">
        <v>40603</v>
      </c>
      <c r="H80" s="44">
        <v>561.54374999999993</v>
      </c>
    </row>
    <row r="81" spans="2:8" x14ac:dyDescent="0.2">
      <c r="B81" s="16">
        <v>40695</v>
      </c>
      <c r="C81" s="9">
        <v>475</v>
      </c>
      <c r="D81" s="37">
        <v>96.8</v>
      </c>
      <c r="E81" s="45">
        <f t="shared" si="1"/>
        <v>591.78719008264454</v>
      </c>
      <c r="G81" s="16">
        <v>40695</v>
      </c>
      <c r="H81" s="44">
        <v>591.78719008264454</v>
      </c>
    </row>
    <row r="82" spans="2:8" x14ac:dyDescent="0.2">
      <c r="B82" s="16">
        <v>40787</v>
      </c>
      <c r="C82" s="9">
        <v>525</v>
      </c>
      <c r="D82" s="37">
        <v>99.1</v>
      </c>
      <c r="E82" s="45">
        <f t="shared" si="1"/>
        <v>638.90010090817361</v>
      </c>
      <c r="G82" s="16">
        <v>40787</v>
      </c>
      <c r="H82" s="44">
        <v>638.90010090817361</v>
      </c>
    </row>
    <row r="83" spans="2:8" x14ac:dyDescent="0.2">
      <c r="B83" s="16">
        <v>40878</v>
      </c>
      <c r="C83" s="9">
        <v>505</v>
      </c>
      <c r="D83" s="37">
        <v>99.8</v>
      </c>
      <c r="E83" s="45">
        <f t="shared" si="1"/>
        <v>610.25050100200406</v>
      </c>
      <c r="G83" s="16">
        <v>40878</v>
      </c>
      <c r="H83" s="44">
        <v>610.25050100200406</v>
      </c>
    </row>
    <row r="84" spans="2:8" x14ac:dyDescent="0.2">
      <c r="B84" s="16">
        <v>40969</v>
      </c>
      <c r="C84" s="9">
        <v>540</v>
      </c>
      <c r="D84" s="37">
        <v>100.1</v>
      </c>
      <c r="E84" s="45">
        <f t="shared" si="1"/>
        <v>650.58941058941059</v>
      </c>
      <c r="G84" s="16">
        <v>40969</v>
      </c>
      <c r="H84" s="44">
        <v>650.58941058941059</v>
      </c>
    </row>
    <row r="85" spans="2:8" x14ac:dyDescent="0.2">
      <c r="B85" s="16">
        <v>41061</v>
      </c>
      <c r="C85" s="9">
        <v>558</v>
      </c>
      <c r="D85" s="37">
        <v>101</v>
      </c>
      <c r="E85" s="45">
        <f t="shared" si="1"/>
        <v>666.28514851485147</v>
      </c>
      <c r="G85" s="16">
        <v>41061</v>
      </c>
      <c r="H85" s="44">
        <v>666.28514851485147</v>
      </c>
    </row>
    <row r="86" spans="2:8" x14ac:dyDescent="0.2">
      <c r="B86" s="16">
        <v>41153</v>
      </c>
      <c r="C86" s="9">
        <v>520</v>
      </c>
      <c r="D86" s="37">
        <v>104.3</v>
      </c>
      <c r="E86" s="45">
        <f t="shared" si="1"/>
        <v>601.26558005752634</v>
      </c>
      <c r="G86" s="16">
        <v>41153</v>
      </c>
      <c r="H86" s="44">
        <v>601.26558005752634</v>
      </c>
    </row>
    <row r="87" spans="2:8" x14ac:dyDescent="0.2">
      <c r="B87" s="16">
        <v>41244</v>
      </c>
      <c r="C87" s="9">
        <v>545</v>
      </c>
      <c r="D87" s="37">
        <v>105.1</v>
      </c>
      <c r="E87" s="45">
        <f t="shared" si="1"/>
        <v>625.37583254043773</v>
      </c>
      <c r="G87" s="16">
        <v>41244</v>
      </c>
      <c r="H87" s="44">
        <v>625.37583254043773</v>
      </c>
    </row>
    <row r="88" spans="2:8" x14ac:dyDescent="0.2">
      <c r="B88" s="16">
        <v>41334</v>
      </c>
      <c r="C88" s="9">
        <v>545</v>
      </c>
      <c r="D88" s="37">
        <v>105.9</v>
      </c>
      <c r="E88" s="45">
        <f t="shared" si="1"/>
        <v>620.65155807365431</v>
      </c>
      <c r="G88" s="16">
        <v>41334</v>
      </c>
      <c r="H88" s="44">
        <v>620.65155807365431</v>
      </c>
    </row>
    <row r="89" spans="2:8" x14ac:dyDescent="0.2">
      <c r="B89" s="16">
        <v>41426</v>
      </c>
      <c r="C89" s="9">
        <v>590</v>
      </c>
      <c r="D89" s="37">
        <v>106.6</v>
      </c>
      <c r="E89" s="45">
        <f t="shared" si="1"/>
        <v>667.48592870544087</v>
      </c>
      <c r="G89" s="16">
        <v>41426</v>
      </c>
      <c r="H89" s="44">
        <v>667.48592870544087</v>
      </c>
    </row>
    <row r="90" spans="2:8" x14ac:dyDescent="0.2">
      <c r="B90" s="16">
        <v>41518</v>
      </c>
      <c r="C90" s="9">
        <v>597</v>
      </c>
      <c r="D90" s="37">
        <v>108.5</v>
      </c>
      <c r="E90" s="45">
        <f t="shared" si="1"/>
        <v>663.57788018433178</v>
      </c>
      <c r="G90" s="16">
        <v>41518</v>
      </c>
      <c r="H90" s="44">
        <v>663.57788018433178</v>
      </c>
    </row>
    <row r="91" spans="2:8" x14ac:dyDescent="0.2">
      <c r="B91" s="16">
        <v>41609</v>
      </c>
      <c r="C91" s="9">
        <v>640</v>
      </c>
      <c r="D91" s="37">
        <v>109.2</v>
      </c>
      <c r="E91" s="45">
        <f t="shared" si="1"/>
        <v>706.81318681318669</v>
      </c>
      <c r="G91" s="16">
        <v>41609</v>
      </c>
      <c r="H91" s="44">
        <v>706.81318681318669</v>
      </c>
    </row>
    <row r="92" spans="2:8" x14ac:dyDescent="0.2">
      <c r="B92" s="16">
        <v>41699</v>
      </c>
      <c r="C92" s="9">
        <v>650</v>
      </c>
      <c r="D92" s="37">
        <v>109.7</v>
      </c>
      <c r="E92" s="45">
        <f t="shared" si="1"/>
        <v>714.58523245214212</v>
      </c>
      <c r="G92" s="16">
        <v>41699</v>
      </c>
      <c r="H92" s="44">
        <v>714.58523245214212</v>
      </c>
    </row>
    <row r="93" spans="2:8" x14ac:dyDescent="0.2">
      <c r="B93" s="16">
        <v>41791</v>
      </c>
      <c r="C93" s="9">
        <v>650</v>
      </c>
      <c r="D93" s="37">
        <v>110.8</v>
      </c>
      <c r="E93" s="45">
        <f t="shared" si="1"/>
        <v>707.49097472924188</v>
      </c>
      <c r="G93" s="16">
        <v>41791</v>
      </c>
      <c r="H93" s="44">
        <v>707.49097472924188</v>
      </c>
    </row>
    <row r="94" spans="2:8" x14ac:dyDescent="0.2">
      <c r="B94" s="16">
        <v>41883</v>
      </c>
      <c r="C94" s="9">
        <v>637</v>
      </c>
      <c r="D94" s="37">
        <v>111.7</v>
      </c>
      <c r="E94" s="45">
        <f t="shared" si="1"/>
        <v>687.7547000895255</v>
      </c>
      <c r="G94" s="16">
        <v>41883</v>
      </c>
      <c r="H94" s="44">
        <v>687.7547000895255</v>
      </c>
    </row>
    <row r="95" spans="2:8" x14ac:dyDescent="0.2">
      <c r="B95" s="16">
        <v>41974</v>
      </c>
      <c r="C95" s="9">
        <v>650</v>
      </c>
      <c r="D95" s="37">
        <v>112.6</v>
      </c>
      <c r="E95" s="45">
        <f t="shared" si="1"/>
        <v>696.18117229129655</v>
      </c>
      <c r="G95" s="16">
        <v>41974</v>
      </c>
      <c r="H95" s="44">
        <v>696.18117229129655</v>
      </c>
    </row>
    <row r="96" spans="2:8" x14ac:dyDescent="0.2">
      <c r="B96" s="16">
        <v>42064</v>
      </c>
      <c r="C96" s="9">
        <v>660</v>
      </c>
      <c r="D96" s="37">
        <v>113.6</v>
      </c>
      <c r="E96" s="45">
        <f t="shared" si="1"/>
        <v>700.66901408450713</v>
      </c>
      <c r="G96" s="16">
        <v>42064</v>
      </c>
      <c r="H96" s="44">
        <v>700.66901408450713</v>
      </c>
    </row>
    <row r="97" spans="2:8" x14ac:dyDescent="0.2">
      <c r="B97" s="16">
        <v>42156</v>
      </c>
      <c r="C97" s="9">
        <v>729</v>
      </c>
      <c r="D97" s="37">
        <v>114.9</v>
      </c>
      <c r="E97" s="45">
        <f t="shared" si="1"/>
        <v>765.16449086161879</v>
      </c>
      <c r="G97" s="16">
        <v>42156</v>
      </c>
      <c r="H97" s="44">
        <v>765.16449086161879</v>
      </c>
    </row>
    <row r="98" spans="2:8" x14ac:dyDescent="0.2">
      <c r="B98" s="16">
        <v>42248</v>
      </c>
      <c r="C98" s="9">
        <v>722</v>
      </c>
      <c r="D98" s="37">
        <v>115.1</v>
      </c>
      <c r="E98" s="45">
        <f t="shared" si="1"/>
        <v>756.50043440486525</v>
      </c>
      <c r="G98" s="16">
        <v>42248</v>
      </c>
      <c r="H98" s="44">
        <v>756.50043440486525</v>
      </c>
    </row>
    <row r="99" spans="2:8" x14ac:dyDescent="0.2">
      <c r="B99" s="16">
        <v>42339</v>
      </c>
      <c r="C99" s="9">
        <v>651</v>
      </c>
      <c r="D99" s="37">
        <v>115.4</v>
      </c>
      <c r="E99" s="45">
        <f t="shared" si="1"/>
        <v>680.3344887348353</v>
      </c>
      <c r="G99" s="16">
        <v>42339</v>
      </c>
      <c r="H99" s="44">
        <v>680.3344887348353</v>
      </c>
    </row>
    <row r="100" spans="2:8" x14ac:dyDescent="0.2">
      <c r="B100" s="16">
        <v>42430</v>
      </c>
      <c r="C100" s="9">
        <v>663</v>
      </c>
      <c r="D100" s="37">
        <v>115.9</v>
      </c>
      <c r="E100" s="45">
        <f t="shared" si="1"/>
        <v>689.88610871440892</v>
      </c>
      <c r="G100" s="16">
        <v>42430</v>
      </c>
      <c r="H100" s="44">
        <v>689.88610871440892</v>
      </c>
    </row>
    <row r="101" spans="2:8" x14ac:dyDescent="0.2">
      <c r="B101" s="16">
        <v>42522</v>
      </c>
      <c r="C101" s="9">
        <v>745</v>
      </c>
      <c r="D101" s="37">
        <v>116.7</v>
      </c>
      <c r="E101" s="45">
        <f t="shared" si="1"/>
        <v>769.89717223650382</v>
      </c>
      <c r="G101" s="16">
        <v>42522</v>
      </c>
      <c r="H101" s="44">
        <v>769.89717223650382</v>
      </c>
    </row>
    <row r="102" spans="2:8" x14ac:dyDescent="0.2">
      <c r="B102" s="16">
        <v>42614</v>
      </c>
      <c r="C102" s="9">
        <v>731</v>
      </c>
      <c r="D102" s="37">
        <v>118.4</v>
      </c>
      <c r="E102" s="45">
        <f t="shared" si="1"/>
        <v>744.5827702702702</v>
      </c>
      <c r="G102" s="16">
        <v>42614</v>
      </c>
      <c r="H102" s="44">
        <v>744.5827702702702</v>
      </c>
    </row>
    <row r="103" spans="2:8" x14ac:dyDescent="0.2">
      <c r="B103" s="16">
        <v>42705</v>
      </c>
      <c r="C103" s="9">
        <v>720</v>
      </c>
      <c r="D103" s="37">
        <v>119</v>
      </c>
      <c r="E103" s="45">
        <f t="shared" si="1"/>
        <v>729.68067226890753</v>
      </c>
      <c r="G103" s="16">
        <v>42705</v>
      </c>
      <c r="H103" s="44">
        <v>729.68067226890753</v>
      </c>
    </row>
    <row r="104" spans="2:8" x14ac:dyDescent="0.2">
      <c r="B104" s="16">
        <v>42795</v>
      </c>
      <c r="C104" s="9">
        <v>724</v>
      </c>
      <c r="D104" s="37">
        <v>119.8</v>
      </c>
      <c r="E104" s="45">
        <f>C104*($D$105/D104)</f>
        <v>728.83472454090145</v>
      </c>
      <c r="G104" s="16">
        <v>42795</v>
      </c>
      <c r="H104" s="44">
        <v>728.83472454090145</v>
      </c>
    </row>
    <row r="105" spans="2:8" x14ac:dyDescent="0.2">
      <c r="D105" s="37">
        <v>120.6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5"/>
  <sheetViews>
    <sheetView zoomScale="125" zoomScaleNormal="100" workbookViewId="0">
      <pane xSplit="3" ySplit="4" topLeftCell="CW5" activePane="bottomRight" state="frozen"/>
      <selection activeCell="GK16" sqref="GK16"/>
      <selection pane="topRight" activeCell="GK16" sqref="GK16"/>
      <selection pane="bottomLeft" activeCell="GK16" sqref="GK16"/>
      <selection pane="bottomRight" activeCell="DF6" sqref="DF6"/>
    </sheetView>
  </sheetViews>
  <sheetFormatPr baseColWidth="10" defaultColWidth="9.1640625" defaultRowHeight="11" x14ac:dyDescent="0.15"/>
  <cols>
    <col min="1" max="1" width="5.1640625" style="5" bestFit="1" customWidth="1"/>
    <col min="2" max="2" width="11.1640625" style="5" bestFit="1" customWidth="1"/>
    <col min="3" max="3" width="20.83203125" style="5" bestFit="1" customWidth="1"/>
    <col min="4" max="4" width="6.6640625" style="5" customWidth="1"/>
    <col min="5" max="5" width="5.83203125" style="5" bestFit="1" customWidth="1"/>
    <col min="6" max="7" width="6.1640625" style="5" bestFit="1" customWidth="1"/>
    <col min="8" max="8" width="6" style="5" bestFit="1" customWidth="1"/>
    <col min="9" max="9" width="5.83203125" style="5" bestFit="1" customWidth="1"/>
    <col min="10" max="11" width="6.1640625" style="5" bestFit="1" customWidth="1"/>
    <col min="12" max="12" width="6" style="5" bestFit="1" customWidth="1"/>
    <col min="13" max="13" width="5.83203125" style="5" bestFit="1" customWidth="1"/>
    <col min="14" max="15" width="6.1640625" style="5" bestFit="1" customWidth="1"/>
    <col min="16" max="16" width="6" style="5" bestFit="1" customWidth="1"/>
    <col min="17" max="17" width="5.83203125" style="5" bestFit="1" customWidth="1"/>
    <col min="18" max="19" width="6.1640625" style="5" bestFit="1" customWidth="1"/>
    <col min="20" max="20" width="6" style="5" bestFit="1" customWidth="1"/>
    <col min="21" max="21" width="5.83203125" style="5" bestFit="1" customWidth="1"/>
    <col min="22" max="23" width="6.1640625" style="5" bestFit="1" customWidth="1"/>
    <col min="24" max="24" width="6" style="5" bestFit="1" customWidth="1"/>
    <col min="25" max="25" width="5.83203125" style="5" bestFit="1" customWidth="1"/>
    <col min="26" max="27" width="6.1640625" style="5" bestFit="1" customWidth="1"/>
    <col min="28" max="28" width="6" style="5" bestFit="1" customWidth="1"/>
    <col min="29" max="29" width="5.83203125" style="5" bestFit="1" customWidth="1"/>
    <col min="30" max="31" width="6.1640625" style="5" bestFit="1" customWidth="1"/>
    <col min="32" max="32" width="6" style="5" bestFit="1" customWidth="1"/>
    <col min="33" max="33" width="5.83203125" style="5" bestFit="1" customWidth="1"/>
    <col min="34" max="35" width="6.1640625" style="5" bestFit="1" customWidth="1"/>
    <col min="36" max="36" width="6" style="5" bestFit="1" customWidth="1"/>
    <col min="37" max="37" width="5.83203125" style="5" bestFit="1" customWidth="1"/>
    <col min="38" max="39" width="6.1640625" style="5" bestFit="1" customWidth="1"/>
    <col min="40" max="40" width="6" style="5" bestFit="1" customWidth="1"/>
    <col min="41" max="41" width="5.83203125" style="5" bestFit="1" customWidth="1"/>
    <col min="42" max="43" width="6.1640625" style="5" bestFit="1" customWidth="1"/>
    <col min="44" max="44" width="6" style="5" bestFit="1" customWidth="1"/>
    <col min="45" max="45" width="5.83203125" style="5" bestFit="1" customWidth="1"/>
    <col min="46" max="47" width="6.1640625" style="5" bestFit="1" customWidth="1"/>
    <col min="48" max="48" width="6" style="5" bestFit="1" customWidth="1"/>
    <col min="49" max="49" width="5.83203125" style="5" bestFit="1" customWidth="1"/>
    <col min="50" max="51" width="6.1640625" style="5" bestFit="1" customWidth="1"/>
    <col min="52" max="52" width="6" style="5" bestFit="1" customWidth="1"/>
    <col min="53" max="53" width="5.83203125" style="5" bestFit="1" customWidth="1"/>
    <col min="54" max="59" width="6.1640625" style="5" bestFit="1" customWidth="1"/>
    <col min="60" max="60" width="6" style="5" bestFit="1" customWidth="1"/>
    <col min="61" max="61" width="5.83203125" style="5" bestFit="1" customWidth="1"/>
    <col min="62" max="64" width="6.1640625" style="5" bestFit="1" customWidth="1"/>
    <col min="65" max="65" width="5.83203125" style="5" bestFit="1" customWidth="1"/>
    <col min="66" max="67" width="6.1640625" style="5" bestFit="1" customWidth="1"/>
    <col min="68" max="68" width="6" style="5" bestFit="1" customWidth="1"/>
    <col min="69" max="69" width="5.83203125" style="5" bestFit="1" customWidth="1"/>
    <col min="70" max="72" width="6.1640625" style="5" bestFit="1" customWidth="1"/>
    <col min="73" max="73" width="5.83203125" style="5" bestFit="1" customWidth="1"/>
    <col min="74" max="75" width="6.1640625" style="5" bestFit="1" customWidth="1"/>
    <col min="76" max="76" width="6" style="5" bestFit="1" customWidth="1"/>
    <col min="77" max="108" width="6.1640625" style="5" bestFit="1" customWidth="1"/>
    <col min="109" max="16384" width="9.1640625" style="5"/>
  </cols>
  <sheetData>
    <row r="1" spans="1:149" x14ac:dyDescent="0.15">
      <c r="B1" s="7" t="s">
        <v>119</v>
      </c>
    </row>
    <row r="2" spans="1:149" x14ac:dyDescent="0.15">
      <c r="A2" s="1"/>
      <c r="B2" s="1"/>
      <c r="C2" s="1" t="s">
        <v>0</v>
      </c>
      <c r="D2" s="7" t="s">
        <v>82</v>
      </c>
    </row>
    <row r="3" spans="1:149" x14ac:dyDescent="0.15">
      <c r="A3" s="1" t="s">
        <v>1</v>
      </c>
      <c r="B3" s="1"/>
      <c r="C3" s="1" t="s">
        <v>2</v>
      </c>
      <c r="D3" s="15" t="s">
        <v>83</v>
      </c>
    </row>
    <row r="4" spans="1:149" x14ac:dyDescent="0.15">
      <c r="A4" s="2"/>
      <c r="B4" s="2"/>
      <c r="C4" s="3" t="s">
        <v>96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8" t="s">
        <v>21</v>
      </c>
      <c r="T4" s="8" t="s">
        <v>22</v>
      </c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 t="s">
        <v>34</v>
      </c>
      <c r="AG4" s="8" t="s">
        <v>35</v>
      </c>
      <c r="AH4" s="8" t="s">
        <v>36</v>
      </c>
      <c r="AI4" s="8" t="s">
        <v>37</v>
      </c>
      <c r="AJ4" s="8" t="s">
        <v>38</v>
      </c>
      <c r="AK4" s="8" t="s">
        <v>39</v>
      </c>
      <c r="AL4" s="8" t="s">
        <v>40</v>
      </c>
      <c r="AM4" s="8" t="s">
        <v>41</v>
      </c>
      <c r="AN4" s="8" t="s">
        <v>42</v>
      </c>
      <c r="AO4" s="8" t="s">
        <v>43</v>
      </c>
      <c r="AP4" s="8" t="s">
        <v>44</v>
      </c>
      <c r="AQ4" s="8" t="s">
        <v>45</v>
      </c>
      <c r="AR4" s="8" t="s">
        <v>46</v>
      </c>
      <c r="AS4" s="8" t="s">
        <v>47</v>
      </c>
      <c r="AT4" s="8" t="s">
        <v>48</v>
      </c>
      <c r="AU4" s="8" t="s">
        <v>49</v>
      </c>
      <c r="AV4" s="8" t="s">
        <v>50</v>
      </c>
      <c r="AW4" s="8" t="s">
        <v>51</v>
      </c>
      <c r="AX4" s="8" t="s">
        <v>52</v>
      </c>
      <c r="AY4" s="8" t="s">
        <v>53</v>
      </c>
      <c r="AZ4" s="8" t="s">
        <v>54</v>
      </c>
      <c r="BA4" s="8" t="s">
        <v>55</v>
      </c>
      <c r="BB4" s="8" t="s">
        <v>56</v>
      </c>
      <c r="BC4" s="8" t="s">
        <v>57</v>
      </c>
      <c r="BD4" s="8" t="s">
        <v>58</v>
      </c>
      <c r="BE4" s="8" t="s">
        <v>59</v>
      </c>
      <c r="BF4" s="8" t="s">
        <v>60</v>
      </c>
      <c r="BG4" s="8" t="s">
        <v>61</v>
      </c>
      <c r="BH4" s="8" t="s">
        <v>62</v>
      </c>
      <c r="BI4" s="8" t="s">
        <v>63</v>
      </c>
      <c r="BJ4" s="8" t="s">
        <v>64</v>
      </c>
      <c r="BK4" s="8" t="s">
        <v>65</v>
      </c>
      <c r="BL4" s="8" t="s">
        <v>66</v>
      </c>
      <c r="BM4" s="8" t="s">
        <v>67</v>
      </c>
      <c r="BN4" s="8" t="s">
        <v>68</v>
      </c>
      <c r="BO4" s="8" t="s">
        <v>69</v>
      </c>
      <c r="BP4" s="8" t="s">
        <v>70</v>
      </c>
      <c r="BQ4" s="8" t="s">
        <v>71</v>
      </c>
      <c r="BR4" s="8" t="s">
        <v>72</v>
      </c>
      <c r="BS4" s="8" t="s">
        <v>73</v>
      </c>
      <c r="BT4" s="8" t="s">
        <v>74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79</v>
      </c>
      <c r="BZ4" s="8" t="s">
        <v>80</v>
      </c>
      <c r="CA4" s="8" t="s">
        <v>81</v>
      </c>
      <c r="CB4" s="8" t="s">
        <v>84</v>
      </c>
      <c r="CC4" s="8" t="s">
        <v>85</v>
      </c>
      <c r="CD4" s="8" t="s">
        <v>86</v>
      </c>
      <c r="CE4" s="8" t="s">
        <v>87</v>
      </c>
      <c r="CF4" s="8" t="s">
        <v>88</v>
      </c>
      <c r="CG4" s="8" t="s">
        <v>89</v>
      </c>
      <c r="CH4" s="8" t="s">
        <v>90</v>
      </c>
      <c r="CI4" s="8" t="s">
        <v>91</v>
      </c>
      <c r="CJ4" s="8" t="s">
        <v>92</v>
      </c>
      <c r="CK4" s="8" t="s">
        <v>93</v>
      </c>
      <c r="CL4" s="8" t="s">
        <v>94</v>
      </c>
      <c r="CM4" s="8" t="s">
        <v>95</v>
      </c>
      <c r="CN4" s="8" t="s">
        <v>98</v>
      </c>
      <c r="CO4" s="8" t="s">
        <v>99</v>
      </c>
      <c r="CP4" s="8" t="s">
        <v>100</v>
      </c>
      <c r="CQ4" s="8" t="s">
        <v>101</v>
      </c>
      <c r="CR4" s="8" t="s">
        <v>102</v>
      </c>
      <c r="CS4" s="8" t="s">
        <v>103</v>
      </c>
      <c r="CT4" s="16" t="s">
        <v>105</v>
      </c>
      <c r="CU4" s="8" t="s">
        <v>104</v>
      </c>
      <c r="CV4" s="8" t="s">
        <v>106</v>
      </c>
      <c r="CW4" s="8" t="s">
        <v>107</v>
      </c>
      <c r="CX4" s="8" t="s">
        <v>108</v>
      </c>
      <c r="CY4" s="8" t="s">
        <v>109</v>
      </c>
      <c r="CZ4" s="8" t="s">
        <v>110</v>
      </c>
      <c r="DA4" s="25">
        <v>42522</v>
      </c>
      <c r="DB4" s="25">
        <v>42614</v>
      </c>
      <c r="DC4" s="25">
        <v>42705</v>
      </c>
      <c r="DD4" s="25">
        <v>42795</v>
      </c>
    </row>
    <row r="5" spans="1:149" s="10" customFormat="1" x14ac:dyDescent="0.15">
      <c r="A5" s="4">
        <v>6700</v>
      </c>
      <c r="B5" s="4">
        <v>24</v>
      </c>
      <c r="C5" s="6" t="s">
        <v>4</v>
      </c>
      <c r="D5" s="9" t="s">
        <v>111</v>
      </c>
      <c r="E5" s="9" t="s">
        <v>111</v>
      </c>
      <c r="F5" s="9" t="s">
        <v>111</v>
      </c>
      <c r="G5" s="9">
        <v>153</v>
      </c>
      <c r="H5" s="9">
        <v>150</v>
      </c>
      <c r="I5" s="9">
        <v>154</v>
      </c>
      <c r="J5" s="9">
        <v>159</v>
      </c>
      <c r="K5" s="9">
        <v>160</v>
      </c>
      <c r="L5" s="9">
        <v>164</v>
      </c>
      <c r="M5" s="9">
        <v>149</v>
      </c>
      <c r="N5" s="9">
        <v>153</v>
      </c>
      <c r="O5" s="9">
        <v>153</v>
      </c>
      <c r="P5" s="9">
        <v>153</v>
      </c>
      <c r="Q5" s="9">
        <v>157</v>
      </c>
      <c r="R5" s="9">
        <v>164</v>
      </c>
      <c r="S5" s="9">
        <v>159</v>
      </c>
      <c r="T5" s="9">
        <v>163</v>
      </c>
      <c r="U5" s="9">
        <v>160</v>
      </c>
      <c r="V5" s="9">
        <v>164</v>
      </c>
      <c r="W5" s="9">
        <v>156</v>
      </c>
      <c r="X5" s="9">
        <v>162</v>
      </c>
      <c r="Y5" s="9">
        <v>160</v>
      </c>
      <c r="Z5" s="9">
        <v>170</v>
      </c>
      <c r="AA5" s="9">
        <v>170</v>
      </c>
      <c r="AB5" s="9">
        <v>175</v>
      </c>
      <c r="AC5" s="9">
        <v>196</v>
      </c>
      <c r="AD5" s="9">
        <v>207</v>
      </c>
      <c r="AE5" s="9">
        <v>214</v>
      </c>
      <c r="AF5" s="9">
        <v>193</v>
      </c>
      <c r="AG5" s="9">
        <v>216</v>
      </c>
      <c r="AH5" s="9">
        <v>200</v>
      </c>
      <c r="AI5" s="9">
        <v>225</v>
      </c>
      <c r="AJ5" s="9">
        <v>225</v>
      </c>
      <c r="AK5" s="9">
        <v>227</v>
      </c>
      <c r="AL5" s="9">
        <v>221</v>
      </c>
      <c r="AM5" s="9">
        <v>230</v>
      </c>
      <c r="AN5" s="9">
        <v>248</v>
      </c>
      <c r="AO5" s="9">
        <v>245</v>
      </c>
      <c r="AP5" s="9">
        <v>240</v>
      </c>
      <c r="AQ5" s="9">
        <v>255</v>
      </c>
      <c r="AR5" s="9">
        <v>261</v>
      </c>
      <c r="AS5" s="9">
        <v>299</v>
      </c>
      <c r="AT5" s="9">
        <v>295</v>
      </c>
      <c r="AU5" s="9">
        <v>315</v>
      </c>
      <c r="AV5" s="9">
        <v>310</v>
      </c>
      <c r="AW5" s="9">
        <v>356</v>
      </c>
      <c r="AX5" s="9">
        <v>390</v>
      </c>
      <c r="AY5" s="9">
        <v>362</v>
      </c>
      <c r="AZ5" s="9">
        <v>350</v>
      </c>
      <c r="BA5" s="9">
        <v>345</v>
      </c>
      <c r="BB5" s="9">
        <v>375</v>
      </c>
      <c r="BC5" s="9">
        <v>389</v>
      </c>
      <c r="BD5" s="9">
        <v>360</v>
      </c>
      <c r="BE5" s="9">
        <v>350</v>
      </c>
      <c r="BF5" s="9">
        <v>345</v>
      </c>
      <c r="BG5" s="9">
        <v>350</v>
      </c>
      <c r="BH5" s="9">
        <v>370</v>
      </c>
      <c r="BI5" s="9">
        <v>350</v>
      </c>
      <c r="BJ5" s="9">
        <v>370</v>
      </c>
      <c r="BK5" s="9">
        <v>375</v>
      </c>
      <c r="BL5" s="9">
        <v>395</v>
      </c>
      <c r="BM5" s="9">
        <v>386</v>
      </c>
      <c r="BN5" s="9">
        <v>339</v>
      </c>
      <c r="BO5" s="9">
        <v>375</v>
      </c>
      <c r="BP5" s="9">
        <v>350</v>
      </c>
      <c r="BQ5" s="9">
        <v>400</v>
      </c>
      <c r="BR5" s="9">
        <v>400</v>
      </c>
      <c r="BS5" s="9">
        <v>400</v>
      </c>
      <c r="BT5" s="9">
        <v>389</v>
      </c>
      <c r="BU5" s="9">
        <v>405</v>
      </c>
      <c r="BV5" s="9">
        <v>390</v>
      </c>
      <c r="BW5" s="9">
        <v>380</v>
      </c>
      <c r="BX5" s="9">
        <v>420</v>
      </c>
      <c r="BY5" s="9">
        <v>430</v>
      </c>
      <c r="BZ5" s="9">
        <v>421</v>
      </c>
      <c r="CA5" s="9">
        <v>440</v>
      </c>
      <c r="CB5" s="9">
        <v>485</v>
      </c>
      <c r="CC5" s="9">
        <v>495</v>
      </c>
      <c r="CD5" s="9">
        <v>457</v>
      </c>
      <c r="CE5" s="9">
        <v>480</v>
      </c>
      <c r="CF5" s="9">
        <v>447</v>
      </c>
      <c r="CG5" s="9">
        <v>475</v>
      </c>
      <c r="CH5" s="9">
        <v>525</v>
      </c>
      <c r="CI5" s="9">
        <v>505</v>
      </c>
      <c r="CJ5" s="9">
        <v>540</v>
      </c>
      <c r="CK5" s="9">
        <v>558</v>
      </c>
      <c r="CL5" s="9">
        <v>520</v>
      </c>
      <c r="CM5" s="9">
        <v>545</v>
      </c>
      <c r="CN5" s="9">
        <v>545</v>
      </c>
      <c r="CO5" s="9">
        <v>590</v>
      </c>
      <c r="CP5" s="9">
        <v>597</v>
      </c>
      <c r="CQ5" s="9">
        <v>640</v>
      </c>
      <c r="CR5" s="9">
        <v>650</v>
      </c>
      <c r="CS5" s="9">
        <v>650</v>
      </c>
      <c r="CT5" s="9">
        <v>637</v>
      </c>
      <c r="CU5" s="9">
        <v>650</v>
      </c>
      <c r="CV5" s="9">
        <v>660</v>
      </c>
      <c r="CW5" s="9">
        <v>729</v>
      </c>
      <c r="CX5" s="9">
        <v>722</v>
      </c>
      <c r="CY5" s="9">
        <v>651</v>
      </c>
      <c r="CZ5" s="9">
        <v>663</v>
      </c>
      <c r="DA5" s="9">
        <v>745</v>
      </c>
      <c r="DB5" s="9">
        <v>731</v>
      </c>
      <c r="DC5" s="9">
        <v>720</v>
      </c>
      <c r="DD5" s="9">
        <v>724</v>
      </c>
      <c r="DE5" s="14"/>
      <c r="DF5" s="14">
        <f>((DD5/G5)^(1/27)-1)*103</f>
        <v>6.1035722613519461</v>
      </c>
      <c r="DG5" s="13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</row>
  </sheetData>
  <phoneticPr fontId="7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8"/>
  <sheetViews>
    <sheetView topLeftCell="A99" zoomScale="165" workbookViewId="0">
      <selection activeCell="C107" sqref="C107"/>
    </sheetView>
  </sheetViews>
  <sheetFormatPr baseColWidth="10" defaultRowHeight="15" x14ac:dyDescent="0.2"/>
  <cols>
    <col min="5" max="5" width="10.83203125" style="44"/>
  </cols>
  <sheetData>
    <row r="2" spans="2:5" x14ac:dyDescent="0.2">
      <c r="B2" s="1" t="s">
        <v>96</v>
      </c>
      <c r="C2" s="58" t="s">
        <v>97</v>
      </c>
      <c r="D2" s="41" t="s">
        <v>167</v>
      </c>
      <c r="E2" s="46" t="s">
        <v>172</v>
      </c>
    </row>
    <row r="3" spans="2:5" x14ac:dyDescent="0.2">
      <c r="B3" s="16">
        <v>33298</v>
      </c>
      <c r="C3" s="60">
        <v>150</v>
      </c>
      <c r="D3" s="37">
        <v>57.1</v>
      </c>
      <c r="E3" s="45">
        <f t="shared" ref="E3:E66" si="0">C3*($D$108/D3)</f>
        <v>316.81260945709283</v>
      </c>
    </row>
    <row r="4" spans="2:5" x14ac:dyDescent="0.2">
      <c r="B4" s="16">
        <v>33390</v>
      </c>
      <c r="C4" s="60">
        <v>155</v>
      </c>
      <c r="D4" s="37">
        <v>57.2</v>
      </c>
      <c r="E4" s="45">
        <f t="shared" si="0"/>
        <v>326.80069930069931</v>
      </c>
    </row>
    <row r="5" spans="2:5" x14ac:dyDescent="0.2">
      <c r="B5" s="16">
        <v>33482</v>
      </c>
      <c r="C5" s="60">
        <v>158</v>
      </c>
      <c r="D5" s="37">
        <v>56.1</v>
      </c>
      <c r="E5" s="45">
        <f t="shared" si="0"/>
        <v>339.65775401069516</v>
      </c>
    </row>
    <row r="6" spans="2:5" x14ac:dyDescent="0.2">
      <c r="B6" s="16">
        <v>33573</v>
      </c>
      <c r="C6" s="60">
        <v>165</v>
      </c>
      <c r="D6" s="37">
        <v>55.9</v>
      </c>
      <c r="E6" s="45">
        <f t="shared" si="0"/>
        <v>355.97495527728086</v>
      </c>
    </row>
    <row r="7" spans="2:5" x14ac:dyDescent="0.2">
      <c r="B7" s="16">
        <v>33664</v>
      </c>
      <c r="C7" s="60">
        <v>160</v>
      </c>
      <c r="D7" s="37">
        <v>54.8</v>
      </c>
      <c r="E7" s="45">
        <f t="shared" si="0"/>
        <v>352.11678832116786</v>
      </c>
    </row>
    <row r="8" spans="2:5" x14ac:dyDescent="0.2">
      <c r="B8" s="16">
        <v>33756</v>
      </c>
      <c r="C8" s="60">
        <v>165</v>
      </c>
      <c r="D8" s="37">
        <v>54</v>
      </c>
      <c r="E8" s="45">
        <f t="shared" si="0"/>
        <v>368.5</v>
      </c>
    </row>
    <row r="9" spans="2:5" x14ac:dyDescent="0.2">
      <c r="B9" s="16">
        <v>33848</v>
      </c>
      <c r="C9" s="60">
        <v>165</v>
      </c>
      <c r="D9" s="37">
        <v>53.3</v>
      </c>
      <c r="E9" s="45">
        <f t="shared" si="0"/>
        <v>373.33958724202625</v>
      </c>
    </row>
    <row r="10" spans="2:5" x14ac:dyDescent="0.2">
      <c r="B10" s="16">
        <v>33939</v>
      </c>
      <c r="C10" s="60">
        <v>167</v>
      </c>
      <c r="D10" s="37">
        <v>53</v>
      </c>
      <c r="E10" s="45">
        <f t="shared" si="0"/>
        <v>380.00377358490562</v>
      </c>
    </row>
    <row r="11" spans="2:5" x14ac:dyDescent="0.2">
      <c r="B11" s="16">
        <v>34029</v>
      </c>
      <c r="C11" s="60">
        <v>165</v>
      </c>
      <c r="D11" s="37">
        <v>53.3</v>
      </c>
      <c r="E11" s="45">
        <f t="shared" si="0"/>
        <v>373.33958724202625</v>
      </c>
    </row>
    <row r="12" spans="2:5" x14ac:dyDescent="0.2">
      <c r="B12" s="16">
        <v>34121</v>
      </c>
      <c r="C12" s="60">
        <v>170</v>
      </c>
      <c r="D12" s="37">
        <v>53.7</v>
      </c>
      <c r="E12" s="45">
        <f t="shared" si="0"/>
        <v>381.78770949720672</v>
      </c>
    </row>
    <row r="13" spans="2:5" x14ac:dyDescent="0.2">
      <c r="B13" s="16">
        <v>34213</v>
      </c>
      <c r="C13" s="60">
        <v>170</v>
      </c>
      <c r="D13" s="37">
        <v>53.7</v>
      </c>
      <c r="E13" s="45">
        <f t="shared" si="0"/>
        <v>381.78770949720672</v>
      </c>
    </row>
    <row r="14" spans="2:5" x14ac:dyDescent="0.2">
      <c r="B14" s="16">
        <v>34304</v>
      </c>
      <c r="C14" s="60">
        <v>170</v>
      </c>
      <c r="D14" s="37">
        <v>52.8</v>
      </c>
      <c r="E14" s="45">
        <f t="shared" si="0"/>
        <v>388.29545454545456</v>
      </c>
    </row>
    <row r="15" spans="2:5" x14ac:dyDescent="0.2">
      <c r="B15" s="16">
        <v>34394</v>
      </c>
      <c r="C15" s="60">
        <v>175</v>
      </c>
      <c r="D15" s="37">
        <v>52.9</v>
      </c>
      <c r="E15" s="45">
        <f t="shared" si="0"/>
        <v>398.96030245746692</v>
      </c>
    </row>
    <row r="16" spans="2:5" x14ac:dyDescent="0.2">
      <c r="B16" s="16">
        <v>34486</v>
      </c>
      <c r="C16" s="60">
        <v>175</v>
      </c>
      <c r="D16" s="37">
        <v>53.5</v>
      </c>
      <c r="E16" s="45">
        <f t="shared" si="0"/>
        <v>394.48598130841123</v>
      </c>
    </row>
    <row r="17" spans="2:5" x14ac:dyDescent="0.2">
      <c r="B17" s="16">
        <v>34578</v>
      </c>
      <c r="C17" s="60">
        <v>185</v>
      </c>
      <c r="D17" s="37">
        <v>54</v>
      </c>
      <c r="E17" s="45">
        <f t="shared" si="0"/>
        <v>413.16666666666669</v>
      </c>
    </row>
    <row r="18" spans="2:5" x14ac:dyDescent="0.2">
      <c r="B18" s="16">
        <v>34669</v>
      </c>
      <c r="C18" s="60">
        <v>187</v>
      </c>
      <c r="D18" s="37">
        <v>55.3</v>
      </c>
      <c r="E18" s="45">
        <f t="shared" si="0"/>
        <v>407.81555153707058</v>
      </c>
    </row>
    <row r="19" spans="2:5" x14ac:dyDescent="0.2">
      <c r="B19" s="16">
        <v>34759</v>
      </c>
      <c r="C19" s="60">
        <v>184</v>
      </c>
      <c r="D19" s="37">
        <v>58.3</v>
      </c>
      <c r="E19" s="45">
        <f t="shared" si="0"/>
        <v>380.62435677530016</v>
      </c>
    </row>
    <row r="20" spans="2:5" x14ac:dyDescent="0.2">
      <c r="B20" s="16">
        <v>34851</v>
      </c>
      <c r="C20" s="60">
        <v>187</v>
      </c>
      <c r="D20" s="37">
        <v>59.5</v>
      </c>
      <c r="E20" s="45">
        <f t="shared" si="0"/>
        <v>379.02857142857141</v>
      </c>
    </row>
    <row r="21" spans="2:5" x14ac:dyDescent="0.2">
      <c r="B21" s="16">
        <v>34943</v>
      </c>
      <c r="C21" s="60">
        <v>186</v>
      </c>
      <c r="D21" s="37">
        <v>60</v>
      </c>
      <c r="E21" s="45">
        <f t="shared" si="0"/>
        <v>373.85999999999996</v>
      </c>
    </row>
    <row r="22" spans="2:5" x14ac:dyDescent="0.2">
      <c r="B22" s="16">
        <v>35034</v>
      </c>
      <c r="C22" s="60">
        <v>190</v>
      </c>
      <c r="D22" s="37">
        <v>60.5</v>
      </c>
      <c r="E22" s="45">
        <f t="shared" si="0"/>
        <v>378.74380165289256</v>
      </c>
    </row>
    <row r="23" spans="2:5" x14ac:dyDescent="0.2">
      <c r="B23" s="16">
        <v>35125</v>
      </c>
      <c r="C23" s="60">
        <v>190</v>
      </c>
      <c r="D23" s="37">
        <v>61</v>
      </c>
      <c r="E23" s="45">
        <f t="shared" si="0"/>
        <v>375.63934426229503</v>
      </c>
    </row>
    <row r="24" spans="2:5" x14ac:dyDescent="0.2">
      <c r="B24" s="16">
        <v>35217</v>
      </c>
      <c r="C24" s="60">
        <v>198</v>
      </c>
      <c r="D24" s="37">
        <v>61.4</v>
      </c>
      <c r="E24" s="45">
        <f t="shared" si="0"/>
        <v>388.90553745928338</v>
      </c>
    </row>
    <row r="25" spans="2:5" x14ac:dyDescent="0.2">
      <c r="B25" s="16">
        <v>35309</v>
      </c>
      <c r="C25" s="60">
        <v>200</v>
      </c>
      <c r="D25" s="37">
        <v>61.6</v>
      </c>
      <c r="E25" s="45">
        <f t="shared" si="0"/>
        <v>391.55844155844153</v>
      </c>
    </row>
    <row r="26" spans="2:5" x14ac:dyDescent="0.2">
      <c r="B26" s="16">
        <v>35400</v>
      </c>
      <c r="C26" s="60">
        <v>214</v>
      </c>
      <c r="D26" s="37">
        <v>60.1</v>
      </c>
      <c r="E26" s="45">
        <f t="shared" si="0"/>
        <v>429.42429284525792</v>
      </c>
    </row>
    <row r="27" spans="2:5" x14ac:dyDescent="0.2">
      <c r="B27" s="16">
        <v>35490</v>
      </c>
      <c r="C27" s="60">
        <v>215</v>
      </c>
      <c r="D27" s="37">
        <v>58.6</v>
      </c>
      <c r="E27" s="45">
        <f t="shared" si="0"/>
        <v>442.47440273037535</v>
      </c>
    </row>
    <row r="28" spans="2:5" x14ac:dyDescent="0.2">
      <c r="B28" s="16">
        <v>35582</v>
      </c>
      <c r="C28" s="60">
        <v>221</v>
      </c>
      <c r="D28" s="37">
        <v>56.8</v>
      </c>
      <c r="E28" s="45">
        <f t="shared" si="0"/>
        <v>469.23591549295776</v>
      </c>
    </row>
    <row r="29" spans="2:5" x14ac:dyDescent="0.2">
      <c r="B29" s="16">
        <v>35674</v>
      </c>
      <c r="C29" s="60">
        <v>228</v>
      </c>
      <c r="D29" s="37">
        <v>56.6</v>
      </c>
      <c r="E29" s="45">
        <f t="shared" si="0"/>
        <v>485.80918727915196</v>
      </c>
    </row>
    <row r="30" spans="2:5" x14ac:dyDescent="0.2">
      <c r="B30" s="16">
        <v>35765</v>
      </c>
      <c r="C30" s="60">
        <v>236</v>
      </c>
      <c r="D30" s="37">
        <v>55.9</v>
      </c>
      <c r="E30" s="45">
        <f t="shared" si="0"/>
        <v>509.15205724508053</v>
      </c>
    </row>
    <row r="31" spans="2:5" x14ac:dyDescent="0.2">
      <c r="B31" s="16">
        <v>35855</v>
      </c>
      <c r="C31" s="60">
        <v>233</v>
      </c>
      <c r="D31" s="37">
        <v>56</v>
      </c>
      <c r="E31" s="45">
        <f t="shared" si="0"/>
        <v>501.78214285714284</v>
      </c>
    </row>
    <row r="32" spans="2:5" x14ac:dyDescent="0.2">
      <c r="B32" s="16">
        <v>35947</v>
      </c>
      <c r="C32" s="60">
        <v>240</v>
      </c>
      <c r="D32" s="37">
        <v>56.6</v>
      </c>
      <c r="E32" s="45">
        <f t="shared" si="0"/>
        <v>511.37809187279152</v>
      </c>
    </row>
    <row r="33" spans="2:5" x14ac:dyDescent="0.2">
      <c r="B33" s="16">
        <v>36039</v>
      </c>
      <c r="C33" s="60">
        <v>240</v>
      </c>
      <c r="D33" s="37">
        <v>57.2</v>
      </c>
      <c r="E33" s="45">
        <f t="shared" si="0"/>
        <v>506.01398601398603</v>
      </c>
    </row>
    <row r="34" spans="2:5" x14ac:dyDescent="0.2">
      <c r="B34" s="16">
        <v>36130</v>
      </c>
      <c r="C34" s="60">
        <v>250</v>
      </c>
      <c r="D34" s="37">
        <v>57.3</v>
      </c>
      <c r="E34" s="45">
        <f t="shared" si="0"/>
        <v>526.17801047120417</v>
      </c>
    </row>
    <row r="35" spans="2:5" x14ac:dyDescent="0.2">
      <c r="B35" s="16">
        <v>36220</v>
      </c>
      <c r="C35" s="60">
        <v>250</v>
      </c>
      <c r="D35" s="37">
        <v>58</v>
      </c>
      <c r="E35" s="45">
        <f t="shared" si="0"/>
        <v>519.82758620689651</v>
      </c>
    </row>
    <row r="36" spans="2:5" x14ac:dyDescent="0.2">
      <c r="B36" s="16">
        <v>36312</v>
      </c>
      <c r="C36" s="60">
        <v>265</v>
      </c>
      <c r="D36" s="37">
        <v>58.2</v>
      </c>
      <c r="E36" s="45">
        <f t="shared" si="0"/>
        <v>549.12371134020611</v>
      </c>
    </row>
    <row r="37" spans="2:5" x14ac:dyDescent="0.2">
      <c r="B37" s="16">
        <v>36404</v>
      </c>
      <c r="C37" s="60">
        <v>270</v>
      </c>
      <c r="D37" s="37">
        <v>59.1</v>
      </c>
      <c r="E37" s="45">
        <f t="shared" si="0"/>
        <v>550.96446700507602</v>
      </c>
    </row>
    <row r="38" spans="2:5" x14ac:dyDescent="0.2">
      <c r="B38" s="16">
        <v>36495</v>
      </c>
      <c r="C38" s="60">
        <v>280</v>
      </c>
      <c r="D38" s="37">
        <v>59.9</v>
      </c>
      <c r="E38" s="45">
        <f t="shared" si="0"/>
        <v>563.73956594323874</v>
      </c>
    </row>
    <row r="39" spans="2:5" x14ac:dyDescent="0.2">
      <c r="B39" s="16">
        <v>36586</v>
      </c>
      <c r="C39" s="60">
        <v>279</v>
      </c>
      <c r="D39" s="37">
        <v>60.6</v>
      </c>
      <c r="E39" s="45">
        <f t="shared" si="0"/>
        <v>555.23762376237619</v>
      </c>
    </row>
    <row r="40" spans="2:5" x14ac:dyDescent="0.2">
      <c r="B40" s="16">
        <v>36678</v>
      </c>
      <c r="C40" s="60">
        <v>295</v>
      </c>
      <c r="D40" s="37">
        <v>61.2</v>
      </c>
      <c r="E40" s="45">
        <f t="shared" si="0"/>
        <v>581.32352941176464</v>
      </c>
    </row>
    <row r="41" spans="2:5" x14ac:dyDescent="0.2">
      <c r="B41" s="16">
        <v>36770</v>
      </c>
      <c r="C41" s="60">
        <v>275</v>
      </c>
      <c r="D41" s="37">
        <v>64.7</v>
      </c>
      <c r="E41" s="45">
        <f t="shared" si="0"/>
        <v>512.59659969088091</v>
      </c>
    </row>
    <row r="42" spans="2:5" x14ac:dyDescent="0.2">
      <c r="B42" s="16">
        <v>36861</v>
      </c>
      <c r="C42" s="60">
        <v>293</v>
      </c>
      <c r="D42" s="37">
        <v>64.8</v>
      </c>
      <c r="E42" s="45">
        <f t="shared" si="0"/>
        <v>545.30555555555554</v>
      </c>
    </row>
    <row r="43" spans="2:5" x14ac:dyDescent="0.2">
      <c r="B43" s="16">
        <v>36951</v>
      </c>
      <c r="C43" s="60">
        <v>299</v>
      </c>
      <c r="D43" s="37">
        <v>65</v>
      </c>
      <c r="E43" s="45">
        <f t="shared" si="0"/>
        <v>554.76</v>
      </c>
    </row>
    <row r="44" spans="2:5" x14ac:dyDescent="0.2">
      <c r="B44" s="16">
        <v>37043</v>
      </c>
      <c r="C44" s="60">
        <v>316</v>
      </c>
      <c r="D44" s="37">
        <v>65.400000000000006</v>
      </c>
      <c r="E44" s="45">
        <f t="shared" si="0"/>
        <v>582.71559633027516</v>
      </c>
    </row>
    <row r="45" spans="2:5" x14ac:dyDescent="0.2">
      <c r="B45" s="16">
        <v>37135</v>
      </c>
      <c r="C45" s="60">
        <v>328</v>
      </c>
      <c r="D45" s="37">
        <v>66</v>
      </c>
      <c r="E45" s="45">
        <f t="shared" si="0"/>
        <v>599.34545454545446</v>
      </c>
    </row>
    <row r="46" spans="2:5" x14ac:dyDescent="0.2">
      <c r="B46" s="16">
        <v>37226</v>
      </c>
      <c r="C46" s="60">
        <v>338</v>
      </c>
      <c r="D46" s="37">
        <v>66.400000000000006</v>
      </c>
      <c r="E46" s="45">
        <f t="shared" si="0"/>
        <v>613.89759036144574</v>
      </c>
    </row>
    <row r="47" spans="2:5" x14ac:dyDescent="0.2">
      <c r="B47" s="16">
        <v>37316</v>
      </c>
      <c r="C47" s="60">
        <v>350</v>
      </c>
      <c r="D47" s="37">
        <v>66.7</v>
      </c>
      <c r="E47" s="45">
        <f t="shared" si="0"/>
        <v>632.83358320839579</v>
      </c>
    </row>
    <row r="48" spans="2:5" x14ac:dyDescent="0.2">
      <c r="B48" s="16">
        <v>37408</v>
      </c>
      <c r="C48" s="60">
        <v>370</v>
      </c>
      <c r="D48" s="37">
        <v>67.2</v>
      </c>
      <c r="E48" s="45">
        <f t="shared" si="0"/>
        <v>664.01785714285711</v>
      </c>
    </row>
    <row r="49" spans="2:5" x14ac:dyDescent="0.2">
      <c r="B49" s="16">
        <v>37500</v>
      </c>
      <c r="C49" s="60">
        <v>385</v>
      </c>
      <c r="D49" s="37">
        <v>67.900000000000006</v>
      </c>
      <c r="E49" s="45">
        <f t="shared" si="0"/>
        <v>683.81443298969054</v>
      </c>
    </row>
    <row r="50" spans="2:5" x14ac:dyDescent="0.2">
      <c r="B50" s="16">
        <v>37591</v>
      </c>
      <c r="C50" s="60">
        <v>400</v>
      </c>
      <c r="D50" s="37">
        <v>68.099999999999994</v>
      </c>
      <c r="E50" s="45">
        <f t="shared" si="0"/>
        <v>708.37004405286348</v>
      </c>
    </row>
    <row r="51" spans="2:5" x14ac:dyDescent="0.2">
      <c r="B51" s="16">
        <v>37681</v>
      </c>
      <c r="C51" s="60">
        <v>398</v>
      </c>
      <c r="D51" s="37">
        <v>68.400000000000006</v>
      </c>
      <c r="E51" s="45">
        <f t="shared" si="0"/>
        <v>701.73684210526301</v>
      </c>
    </row>
    <row r="52" spans="2:5" x14ac:dyDescent="0.2">
      <c r="B52" s="16">
        <v>37773</v>
      </c>
      <c r="C52" s="60">
        <v>415</v>
      </c>
      <c r="D52" s="37">
        <v>68.900000000000006</v>
      </c>
      <c r="E52" s="45">
        <f t="shared" si="0"/>
        <v>726.40058055152383</v>
      </c>
    </row>
    <row r="53" spans="2:5" x14ac:dyDescent="0.2">
      <c r="B53" s="16">
        <v>37865</v>
      </c>
      <c r="C53" s="60">
        <v>423</v>
      </c>
      <c r="D53" s="37">
        <v>69.900000000000006</v>
      </c>
      <c r="E53" s="45">
        <f t="shared" si="0"/>
        <v>729.81115879828315</v>
      </c>
    </row>
    <row r="54" spans="2:5" x14ac:dyDescent="0.2">
      <c r="B54" s="16">
        <v>37956</v>
      </c>
      <c r="C54" s="60">
        <v>443</v>
      </c>
      <c r="D54" s="37">
        <v>70.099999999999994</v>
      </c>
      <c r="E54" s="45">
        <f t="shared" si="0"/>
        <v>762.13694721825971</v>
      </c>
    </row>
    <row r="55" spans="2:5" x14ac:dyDescent="0.2">
      <c r="B55" s="16">
        <v>38047</v>
      </c>
      <c r="C55" s="60">
        <v>435</v>
      </c>
      <c r="D55" s="37">
        <v>70.5</v>
      </c>
      <c r="E55" s="45">
        <f t="shared" si="0"/>
        <v>744.12765957446811</v>
      </c>
    </row>
    <row r="56" spans="2:5" x14ac:dyDescent="0.2">
      <c r="B56" s="16">
        <v>38139</v>
      </c>
      <c r="C56" s="60">
        <v>427</v>
      </c>
      <c r="D56" s="37">
        <v>71.099999999999994</v>
      </c>
      <c r="E56" s="45">
        <f t="shared" si="0"/>
        <v>724.27848101265829</v>
      </c>
    </row>
    <row r="57" spans="2:5" x14ac:dyDescent="0.2">
      <c r="B57" s="16">
        <v>38231</v>
      </c>
      <c r="C57" s="60">
        <v>435</v>
      </c>
      <c r="D57" s="37">
        <v>72.3</v>
      </c>
      <c r="E57" s="45">
        <f t="shared" si="0"/>
        <v>725.60165975103735</v>
      </c>
    </row>
    <row r="58" spans="2:5" x14ac:dyDescent="0.2">
      <c r="B58" s="16">
        <v>38322</v>
      </c>
      <c r="C58" s="60">
        <v>449</v>
      </c>
      <c r="D58" s="37">
        <v>72.8</v>
      </c>
      <c r="E58" s="45">
        <f t="shared" si="0"/>
        <v>743.81043956043948</v>
      </c>
    </row>
    <row r="59" spans="2:5" x14ac:dyDescent="0.2">
      <c r="B59" s="16">
        <v>38412</v>
      </c>
      <c r="C59" s="60">
        <v>430</v>
      </c>
      <c r="D59" s="37">
        <v>73.2</v>
      </c>
      <c r="E59" s="45">
        <f t="shared" si="0"/>
        <v>708.44262295081967</v>
      </c>
    </row>
    <row r="60" spans="2:5" x14ac:dyDescent="0.2">
      <c r="B60" s="16">
        <v>38504</v>
      </c>
      <c r="C60" s="60">
        <v>435</v>
      </c>
      <c r="D60" s="37">
        <v>73.7</v>
      </c>
      <c r="E60" s="45">
        <f t="shared" si="0"/>
        <v>711.81818181818176</v>
      </c>
    </row>
    <row r="61" spans="2:5" x14ac:dyDescent="0.2">
      <c r="B61" s="16">
        <v>38596</v>
      </c>
      <c r="C61" s="60">
        <v>425</v>
      </c>
      <c r="D61" s="37">
        <v>74.599999999999994</v>
      </c>
      <c r="E61" s="45">
        <f t="shared" si="0"/>
        <v>687.06434316353887</v>
      </c>
    </row>
    <row r="62" spans="2:5" x14ac:dyDescent="0.2">
      <c r="B62" s="16">
        <v>38687</v>
      </c>
      <c r="C62" s="60">
        <v>433</v>
      </c>
      <c r="D62" s="37">
        <v>75</v>
      </c>
      <c r="E62" s="45">
        <f t="shared" si="0"/>
        <v>696.2639999999999</v>
      </c>
    </row>
    <row r="63" spans="2:5" x14ac:dyDescent="0.2">
      <c r="B63" s="16">
        <v>38777</v>
      </c>
      <c r="C63" s="60">
        <v>420</v>
      </c>
      <c r="D63" s="37">
        <v>75.2</v>
      </c>
      <c r="E63" s="45">
        <f t="shared" si="0"/>
        <v>673.563829787234</v>
      </c>
    </row>
    <row r="64" spans="2:5" x14ac:dyDescent="0.2">
      <c r="B64" s="16">
        <v>38869</v>
      </c>
      <c r="C64" s="60">
        <v>436</v>
      </c>
      <c r="D64" s="37">
        <v>75.599999999999994</v>
      </c>
      <c r="E64" s="45">
        <f t="shared" si="0"/>
        <v>695.52380952380952</v>
      </c>
    </row>
    <row r="65" spans="2:5" x14ac:dyDescent="0.2">
      <c r="B65" s="16">
        <v>38961</v>
      </c>
      <c r="C65" s="60">
        <v>420</v>
      </c>
      <c r="D65" s="37">
        <v>76.599999999999994</v>
      </c>
      <c r="E65" s="45">
        <f t="shared" si="0"/>
        <v>661.25326370757182</v>
      </c>
    </row>
    <row r="66" spans="2:5" x14ac:dyDescent="0.2">
      <c r="B66" s="16">
        <v>39052</v>
      </c>
      <c r="C66" s="60">
        <v>442</v>
      </c>
      <c r="D66" s="37">
        <v>76.8</v>
      </c>
      <c r="E66" s="45">
        <f t="shared" si="0"/>
        <v>694.078125</v>
      </c>
    </row>
    <row r="67" spans="2:5" x14ac:dyDescent="0.2">
      <c r="B67" s="16">
        <v>39142</v>
      </c>
      <c r="C67" s="60">
        <v>425</v>
      </c>
      <c r="D67" s="37">
        <v>77.2</v>
      </c>
      <c r="E67" s="45">
        <f t="shared" ref="E67:E106" si="1">C67*($D$108/D67)</f>
        <v>663.92487046632118</v>
      </c>
    </row>
    <row r="68" spans="2:5" x14ac:dyDescent="0.2">
      <c r="B68" s="16">
        <v>39234</v>
      </c>
      <c r="C68" s="60">
        <v>450</v>
      </c>
      <c r="D68" s="37">
        <v>77.900000000000006</v>
      </c>
      <c r="E68" s="45">
        <f t="shared" si="1"/>
        <v>696.66238767650827</v>
      </c>
    </row>
    <row r="69" spans="2:5" x14ac:dyDescent="0.2">
      <c r="B69" s="16">
        <v>39326</v>
      </c>
      <c r="C69" s="60">
        <v>445</v>
      </c>
      <c r="D69" s="37">
        <v>79.400000000000006</v>
      </c>
      <c r="E69" s="45">
        <f t="shared" si="1"/>
        <v>675.90680100755662</v>
      </c>
    </row>
    <row r="70" spans="2:5" x14ac:dyDescent="0.2">
      <c r="B70" s="16">
        <v>39417</v>
      </c>
      <c r="C70" s="60">
        <v>465</v>
      </c>
      <c r="D70" s="37">
        <v>80</v>
      </c>
      <c r="E70" s="45">
        <f t="shared" si="1"/>
        <v>700.98749999999995</v>
      </c>
    </row>
    <row r="71" spans="2:5" x14ac:dyDescent="0.2">
      <c r="B71" s="16">
        <v>39508</v>
      </c>
      <c r="C71" s="60">
        <v>435</v>
      </c>
      <c r="D71" s="37">
        <v>81.2</v>
      </c>
      <c r="E71" s="45">
        <f t="shared" si="1"/>
        <v>646.07142857142856</v>
      </c>
    </row>
    <row r="72" spans="2:5" x14ac:dyDescent="0.2">
      <c r="B72" s="16">
        <v>39600</v>
      </c>
      <c r="C72" s="60">
        <v>435</v>
      </c>
      <c r="D72" s="37">
        <v>82.4</v>
      </c>
      <c r="E72" s="45">
        <f t="shared" si="1"/>
        <v>636.66262135922329</v>
      </c>
    </row>
    <row r="73" spans="2:5" x14ac:dyDescent="0.2">
      <c r="B73" s="16">
        <v>39692</v>
      </c>
      <c r="C73" s="60">
        <v>420</v>
      </c>
      <c r="D73" s="37">
        <v>84.4</v>
      </c>
      <c r="E73" s="45">
        <f t="shared" si="1"/>
        <v>600.14218009478668</v>
      </c>
    </row>
    <row r="74" spans="2:5" x14ac:dyDescent="0.2">
      <c r="B74" s="16">
        <v>39783</v>
      </c>
      <c r="C74" s="60">
        <v>412</v>
      </c>
      <c r="D74" s="37">
        <v>85.3</v>
      </c>
      <c r="E74" s="45">
        <f t="shared" si="1"/>
        <v>582.49941383352871</v>
      </c>
    </row>
    <row r="75" spans="2:5" x14ac:dyDescent="0.2">
      <c r="B75" s="16">
        <v>39873</v>
      </c>
      <c r="C75" s="60">
        <v>408</v>
      </c>
      <c r="D75" s="37">
        <v>85.9</v>
      </c>
      <c r="E75" s="45">
        <f t="shared" si="1"/>
        <v>572.81490104772979</v>
      </c>
    </row>
    <row r="76" spans="2:5" x14ac:dyDescent="0.2">
      <c r="B76" s="16">
        <v>39965</v>
      </c>
      <c r="C76" s="60">
        <v>435</v>
      </c>
      <c r="D76" s="37">
        <v>86.9</v>
      </c>
      <c r="E76" s="45">
        <f t="shared" si="1"/>
        <v>603.69390103567309</v>
      </c>
    </row>
    <row r="77" spans="2:5" x14ac:dyDescent="0.2">
      <c r="B77" s="16">
        <v>40057</v>
      </c>
      <c r="C77" s="60">
        <v>450</v>
      </c>
      <c r="D77" s="37">
        <v>90.2</v>
      </c>
      <c r="E77" s="45">
        <f t="shared" si="1"/>
        <v>601.66297117516626</v>
      </c>
    </row>
    <row r="78" spans="2:5" x14ac:dyDescent="0.2">
      <c r="B78" s="16">
        <v>40148</v>
      </c>
      <c r="C78" s="60">
        <v>500</v>
      </c>
      <c r="D78" s="37">
        <v>90.8</v>
      </c>
      <c r="E78" s="45">
        <f t="shared" si="1"/>
        <v>664.09691629955944</v>
      </c>
    </row>
    <row r="79" spans="2:5" x14ac:dyDescent="0.2">
      <c r="B79" s="16">
        <v>40238</v>
      </c>
      <c r="C79" s="60">
        <v>500</v>
      </c>
      <c r="D79" s="37">
        <v>91.6</v>
      </c>
      <c r="E79" s="45">
        <f t="shared" si="1"/>
        <v>658.29694323144111</v>
      </c>
    </row>
    <row r="80" spans="2:5" x14ac:dyDescent="0.2">
      <c r="B80" s="16">
        <v>40330</v>
      </c>
      <c r="C80" s="60">
        <v>523</v>
      </c>
      <c r="D80" s="37">
        <v>92.1</v>
      </c>
      <c r="E80" s="45">
        <f t="shared" si="1"/>
        <v>684.84039087947883</v>
      </c>
    </row>
    <row r="81" spans="2:5" x14ac:dyDescent="0.2">
      <c r="B81" s="16">
        <v>40422</v>
      </c>
      <c r="C81" s="60">
        <v>515</v>
      </c>
      <c r="D81" s="37">
        <v>94.2</v>
      </c>
      <c r="E81" s="45">
        <f t="shared" si="1"/>
        <v>659.33121019108273</v>
      </c>
    </row>
    <row r="82" spans="2:5" x14ac:dyDescent="0.2">
      <c r="B82" s="16">
        <v>40513</v>
      </c>
      <c r="C82" s="60">
        <v>535</v>
      </c>
      <c r="D82" s="37">
        <v>95</v>
      </c>
      <c r="E82" s="45">
        <f t="shared" si="1"/>
        <v>679.16842105263163</v>
      </c>
    </row>
    <row r="83" spans="2:5" x14ac:dyDescent="0.2">
      <c r="B83" s="16">
        <v>40603</v>
      </c>
      <c r="C83" s="60">
        <v>580</v>
      </c>
      <c r="D83" s="37">
        <v>96</v>
      </c>
      <c r="E83" s="45">
        <f t="shared" si="1"/>
        <v>728.62499999999989</v>
      </c>
    </row>
    <row r="84" spans="2:5" x14ac:dyDescent="0.2">
      <c r="B84" s="16">
        <v>40695</v>
      </c>
      <c r="C84" s="60">
        <v>540</v>
      </c>
      <c r="D84" s="37">
        <v>96.8</v>
      </c>
      <c r="E84" s="45">
        <f t="shared" si="1"/>
        <v>672.76859504132221</v>
      </c>
    </row>
    <row r="85" spans="2:5" x14ac:dyDescent="0.2">
      <c r="B85" s="16">
        <v>40787</v>
      </c>
      <c r="C85" s="60">
        <v>510</v>
      </c>
      <c r="D85" s="37">
        <v>99.1</v>
      </c>
      <c r="E85" s="45">
        <f t="shared" si="1"/>
        <v>620.64581231079717</v>
      </c>
    </row>
    <row r="86" spans="2:5" x14ac:dyDescent="0.2">
      <c r="B86" s="16">
        <v>40878</v>
      </c>
      <c r="C86" s="60">
        <v>491</v>
      </c>
      <c r="D86" s="37">
        <v>99.8</v>
      </c>
      <c r="E86" s="45">
        <f t="shared" si="1"/>
        <v>593.33266533066137</v>
      </c>
    </row>
    <row r="87" spans="2:5" x14ac:dyDescent="0.2">
      <c r="B87" s="16">
        <v>40969</v>
      </c>
      <c r="C87" s="60">
        <v>540</v>
      </c>
      <c r="D87" s="37">
        <v>100.1</v>
      </c>
      <c r="E87" s="45">
        <f t="shared" si="1"/>
        <v>650.58941058941059</v>
      </c>
    </row>
    <row r="88" spans="2:5" x14ac:dyDescent="0.2">
      <c r="B88" s="16">
        <v>41061</v>
      </c>
      <c r="C88" s="60">
        <v>545</v>
      </c>
      <c r="D88" s="37">
        <v>101</v>
      </c>
      <c r="E88" s="45">
        <f t="shared" si="1"/>
        <v>650.7623762376237</v>
      </c>
    </row>
    <row r="89" spans="2:5" x14ac:dyDescent="0.2">
      <c r="B89" s="16">
        <v>41153</v>
      </c>
      <c r="C89" s="60">
        <v>525</v>
      </c>
      <c r="D89" s="37">
        <v>104.3</v>
      </c>
      <c r="E89" s="45">
        <f t="shared" si="1"/>
        <v>607.04697986577173</v>
      </c>
    </row>
    <row r="90" spans="2:5" x14ac:dyDescent="0.2">
      <c r="B90" s="16">
        <v>41244</v>
      </c>
      <c r="C90" s="60">
        <v>560</v>
      </c>
      <c r="D90" s="37">
        <v>105.1</v>
      </c>
      <c r="E90" s="45">
        <f t="shared" si="1"/>
        <v>642.58801141769743</v>
      </c>
    </row>
    <row r="91" spans="2:5" x14ac:dyDescent="0.2">
      <c r="B91" s="16">
        <v>41334</v>
      </c>
      <c r="C91" s="60">
        <v>550</v>
      </c>
      <c r="D91" s="37">
        <v>105.9</v>
      </c>
      <c r="E91" s="45">
        <f t="shared" si="1"/>
        <v>626.34560906515571</v>
      </c>
    </row>
    <row r="92" spans="2:5" x14ac:dyDescent="0.2">
      <c r="B92" s="16">
        <v>41426</v>
      </c>
      <c r="C92" s="60">
        <v>575</v>
      </c>
      <c r="D92" s="37">
        <v>106.6</v>
      </c>
      <c r="E92" s="45">
        <f t="shared" si="1"/>
        <v>650.51594746716694</v>
      </c>
    </row>
    <row r="93" spans="2:5" x14ac:dyDescent="0.2">
      <c r="B93" s="16">
        <v>41518</v>
      </c>
      <c r="C93" s="60">
        <v>590</v>
      </c>
      <c r="D93" s="37">
        <v>108.5</v>
      </c>
      <c r="E93" s="45">
        <f t="shared" si="1"/>
        <v>655.79723502304148</v>
      </c>
    </row>
    <row r="94" spans="2:5" x14ac:dyDescent="0.2">
      <c r="B94" s="16">
        <v>41609</v>
      </c>
      <c r="C94" s="60">
        <v>600</v>
      </c>
      <c r="D94" s="37">
        <v>109.2</v>
      </c>
      <c r="E94" s="45">
        <f t="shared" si="1"/>
        <v>662.63736263736257</v>
      </c>
    </row>
    <row r="95" spans="2:5" x14ac:dyDescent="0.2">
      <c r="B95" s="16">
        <v>41699</v>
      </c>
      <c r="C95" s="60">
        <v>645</v>
      </c>
      <c r="D95" s="37">
        <v>109.7</v>
      </c>
      <c r="E95" s="45">
        <f t="shared" si="1"/>
        <v>709.08842297174112</v>
      </c>
    </row>
    <row r="96" spans="2:5" x14ac:dyDescent="0.2">
      <c r="B96" s="16">
        <v>41791</v>
      </c>
      <c r="C96" s="60">
        <v>650</v>
      </c>
      <c r="D96" s="37">
        <v>110.8</v>
      </c>
      <c r="E96" s="45">
        <f t="shared" si="1"/>
        <v>707.49097472924188</v>
      </c>
    </row>
    <row r="97" spans="2:5" x14ac:dyDescent="0.2">
      <c r="B97" s="16">
        <v>41883</v>
      </c>
      <c r="C97" s="60">
        <v>670</v>
      </c>
      <c r="D97" s="37">
        <v>111.7</v>
      </c>
      <c r="E97" s="45">
        <f t="shared" si="1"/>
        <v>723.38406445837063</v>
      </c>
    </row>
    <row r="98" spans="2:5" x14ac:dyDescent="0.2">
      <c r="B98" s="16">
        <v>41974</v>
      </c>
      <c r="C98" s="60">
        <v>700</v>
      </c>
      <c r="D98" s="37">
        <v>112.6</v>
      </c>
      <c r="E98" s="45">
        <f t="shared" si="1"/>
        <v>749.73357015985789</v>
      </c>
    </row>
    <row r="99" spans="2:5" x14ac:dyDescent="0.2">
      <c r="B99" s="16">
        <v>42064</v>
      </c>
      <c r="C99" s="60">
        <v>700</v>
      </c>
      <c r="D99" s="37">
        <v>113.6</v>
      </c>
      <c r="E99" s="45">
        <f t="shared" si="1"/>
        <v>743.13380281690149</v>
      </c>
    </row>
    <row r="100" spans="2:5" x14ac:dyDescent="0.2">
      <c r="B100" s="16">
        <v>42156</v>
      </c>
      <c r="C100" s="60">
        <v>750</v>
      </c>
      <c r="D100" s="37">
        <v>114.9</v>
      </c>
      <c r="E100" s="45">
        <f t="shared" si="1"/>
        <v>787.20626631853781</v>
      </c>
    </row>
    <row r="101" spans="2:5" x14ac:dyDescent="0.2">
      <c r="B101" s="16">
        <v>42248</v>
      </c>
      <c r="C101" s="60">
        <v>770</v>
      </c>
      <c r="D101" s="37">
        <v>115.1</v>
      </c>
      <c r="E101" s="45">
        <f t="shared" si="1"/>
        <v>806.79409209383141</v>
      </c>
    </row>
    <row r="102" spans="2:5" x14ac:dyDescent="0.2">
      <c r="B102" s="16">
        <v>42339</v>
      </c>
      <c r="C102" s="60">
        <v>790</v>
      </c>
      <c r="D102" s="37">
        <v>115.4</v>
      </c>
      <c r="E102" s="45">
        <f t="shared" si="1"/>
        <v>825.59792027729623</v>
      </c>
    </row>
    <row r="103" spans="2:5" x14ac:dyDescent="0.2">
      <c r="B103" s="16">
        <v>42430</v>
      </c>
      <c r="C103" s="60">
        <v>760</v>
      </c>
      <c r="D103" s="37">
        <v>115.9</v>
      </c>
      <c r="E103" s="45">
        <f t="shared" si="1"/>
        <v>790.81967213114751</v>
      </c>
    </row>
    <row r="104" spans="2:5" x14ac:dyDescent="0.2">
      <c r="B104" s="16">
        <v>42522</v>
      </c>
      <c r="C104" s="60">
        <v>780</v>
      </c>
      <c r="D104" s="37">
        <v>116.7</v>
      </c>
      <c r="E104" s="45">
        <f t="shared" si="1"/>
        <v>806.06683804627244</v>
      </c>
    </row>
    <row r="105" spans="2:5" x14ac:dyDescent="0.2">
      <c r="B105" s="16">
        <v>42614</v>
      </c>
      <c r="C105" s="60">
        <v>788</v>
      </c>
      <c r="D105" s="37">
        <v>118.4</v>
      </c>
      <c r="E105" s="45">
        <f t="shared" si="1"/>
        <v>802.64189189189176</v>
      </c>
    </row>
    <row r="106" spans="2:5" x14ac:dyDescent="0.2">
      <c r="B106" s="16">
        <v>42705</v>
      </c>
      <c r="C106" s="60">
        <v>840</v>
      </c>
      <c r="D106" s="37">
        <v>119</v>
      </c>
      <c r="E106" s="45">
        <f t="shared" si="1"/>
        <v>851.29411764705878</v>
      </c>
    </row>
    <row r="107" spans="2:5" x14ac:dyDescent="0.2">
      <c r="B107" s="16">
        <v>42795</v>
      </c>
      <c r="C107" s="60">
        <v>810</v>
      </c>
      <c r="D107" s="37">
        <v>119.8</v>
      </c>
      <c r="E107" s="45">
        <f>C107*($D$108/D107)</f>
        <v>815.40901502504175</v>
      </c>
    </row>
    <row r="108" spans="2:5" x14ac:dyDescent="0.2">
      <c r="B108" s="16">
        <v>42887</v>
      </c>
      <c r="D108" s="37">
        <v>120.6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5"/>
  <sheetViews>
    <sheetView topLeftCell="DA1" zoomScale="125" workbookViewId="0">
      <selection activeCell="DE5" sqref="DE5"/>
    </sheetView>
  </sheetViews>
  <sheetFormatPr baseColWidth="10" defaultColWidth="9.1640625" defaultRowHeight="11" x14ac:dyDescent="0.15"/>
  <cols>
    <col min="1" max="1" width="5.1640625" style="5" bestFit="1" customWidth="1"/>
    <col min="2" max="2" width="11.5" style="5" customWidth="1"/>
    <col min="3" max="3" width="20.83203125" style="5" bestFit="1" customWidth="1"/>
    <col min="4" max="4" width="6.6640625" style="5" customWidth="1"/>
    <col min="5" max="5" width="5.83203125" style="5" bestFit="1" customWidth="1"/>
    <col min="6" max="7" width="6.1640625" style="5" bestFit="1" customWidth="1"/>
    <col min="8" max="8" width="6" style="5" bestFit="1" customWidth="1"/>
    <col min="9" max="9" width="5.83203125" style="5" bestFit="1" customWidth="1"/>
    <col min="10" max="11" width="6.1640625" style="5" bestFit="1" customWidth="1"/>
    <col min="12" max="12" width="6" style="5" bestFit="1" customWidth="1"/>
    <col min="13" max="13" width="5.83203125" style="5" bestFit="1" customWidth="1"/>
    <col min="14" max="15" width="6.1640625" style="5" bestFit="1" customWidth="1"/>
    <col min="16" max="16" width="6" style="5" bestFit="1" customWidth="1"/>
    <col min="17" max="17" width="5.83203125" style="5" bestFit="1" customWidth="1"/>
    <col min="18" max="19" width="6.1640625" style="5" bestFit="1" customWidth="1"/>
    <col min="20" max="20" width="6" style="5" bestFit="1" customWidth="1"/>
    <col min="21" max="21" width="5.83203125" style="5" bestFit="1" customWidth="1"/>
    <col min="22" max="23" width="6.1640625" style="5" bestFit="1" customWidth="1"/>
    <col min="24" max="24" width="6" style="5" bestFit="1" customWidth="1"/>
    <col min="25" max="25" width="5.83203125" style="5" bestFit="1" customWidth="1"/>
    <col min="26" max="27" width="6.1640625" style="5" bestFit="1" customWidth="1"/>
    <col min="28" max="28" width="6" style="5" bestFit="1" customWidth="1"/>
    <col min="29" max="29" width="5.83203125" style="5" bestFit="1" customWidth="1"/>
    <col min="30" max="31" width="6.1640625" style="5" bestFit="1" customWidth="1"/>
    <col min="32" max="32" width="6" style="5" bestFit="1" customWidth="1"/>
    <col min="33" max="33" width="5.83203125" style="5" bestFit="1" customWidth="1"/>
    <col min="34" max="35" width="6.1640625" style="5" bestFit="1" customWidth="1"/>
    <col min="36" max="36" width="6" style="5" bestFit="1" customWidth="1"/>
    <col min="37" max="37" width="5.83203125" style="5" bestFit="1" customWidth="1"/>
    <col min="38" max="39" width="6.1640625" style="5" bestFit="1" customWidth="1"/>
    <col min="40" max="40" width="6" style="5" bestFit="1" customWidth="1"/>
    <col min="41" max="41" width="5.83203125" style="5" bestFit="1" customWidth="1"/>
    <col min="42" max="43" width="6.1640625" style="5" bestFit="1" customWidth="1"/>
    <col min="44" max="44" width="6" style="5" bestFit="1" customWidth="1"/>
    <col min="45" max="45" width="5.83203125" style="5" bestFit="1" customWidth="1"/>
    <col min="46" max="47" width="6.1640625" style="5" bestFit="1" customWidth="1"/>
    <col min="48" max="48" width="6" style="5" bestFit="1" customWidth="1"/>
    <col min="49" max="49" width="5.83203125" style="5" bestFit="1" customWidth="1"/>
    <col min="50" max="51" width="6.1640625" style="5" bestFit="1" customWidth="1"/>
    <col min="52" max="52" width="6" style="5" bestFit="1" customWidth="1"/>
    <col min="53" max="53" width="5.83203125" style="5" bestFit="1" customWidth="1"/>
    <col min="54" max="59" width="6.1640625" style="5" bestFit="1" customWidth="1"/>
    <col min="60" max="60" width="6" style="5" bestFit="1" customWidth="1"/>
    <col min="61" max="61" width="5.83203125" style="5" bestFit="1" customWidth="1"/>
    <col min="62" max="64" width="6.1640625" style="5" bestFit="1" customWidth="1"/>
    <col min="65" max="65" width="5.83203125" style="5" bestFit="1" customWidth="1"/>
    <col min="66" max="67" width="6.1640625" style="5" bestFit="1" customWidth="1"/>
    <col min="68" max="68" width="6" style="5" bestFit="1" customWidth="1"/>
    <col min="69" max="69" width="5.83203125" style="5" bestFit="1" customWidth="1"/>
    <col min="70" max="72" width="6.1640625" style="5" bestFit="1" customWidth="1"/>
    <col min="73" max="73" width="5.83203125" style="5" bestFit="1" customWidth="1"/>
    <col min="74" max="75" width="6.1640625" style="5" bestFit="1" customWidth="1"/>
    <col min="76" max="108" width="6" style="5" bestFit="1" customWidth="1"/>
    <col min="109" max="16384" width="9.1640625" style="5"/>
  </cols>
  <sheetData>
    <row r="1" spans="1:149" x14ac:dyDescent="0.15">
      <c r="B1" s="7" t="s">
        <v>5</v>
      </c>
    </row>
    <row r="2" spans="1:149" x14ac:dyDescent="0.15">
      <c r="A2" s="57"/>
      <c r="B2" s="57"/>
      <c r="C2" s="57" t="s">
        <v>0</v>
      </c>
      <c r="D2" s="7" t="s">
        <v>82</v>
      </c>
    </row>
    <row r="3" spans="1:149" x14ac:dyDescent="0.15">
      <c r="A3" s="57" t="s">
        <v>1</v>
      </c>
      <c r="B3" s="57"/>
      <c r="C3" s="57" t="s">
        <v>2</v>
      </c>
      <c r="D3" s="56" t="s">
        <v>83</v>
      </c>
    </row>
    <row r="4" spans="1:149" x14ac:dyDescent="0.15">
      <c r="A4" s="52"/>
      <c r="B4" s="52"/>
      <c r="C4" s="53" t="s">
        <v>96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8" t="s">
        <v>21</v>
      </c>
      <c r="T4" s="8" t="s">
        <v>22</v>
      </c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 t="s">
        <v>34</v>
      </c>
      <c r="AG4" s="8" t="s">
        <v>35</v>
      </c>
      <c r="AH4" s="8" t="s">
        <v>36</v>
      </c>
      <c r="AI4" s="8" t="s">
        <v>37</v>
      </c>
      <c r="AJ4" s="8" t="s">
        <v>38</v>
      </c>
      <c r="AK4" s="8" t="s">
        <v>39</v>
      </c>
      <c r="AL4" s="8" t="s">
        <v>40</v>
      </c>
      <c r="AM4" s="8" t="s">
        <v>41</v>
      </c>
      <c r="AN4" s="8" t="s">
        <v>42</v>
      </c>
      <c r="AO4" s="8" t="s">
        <v>43</v>
      </c>
      <c r="AP4" s="8" t="s">
        <v>44</v>
      </c>
      <c r="AQ4" s="8" t="s">
        <v>45</v>
      </c>
      <c r="AR4" s="8" t="s">
        <v>46</v>
      </c>
      <c r="AS4" s="8" t="s">
        <v>47</v>
      </c>
      <c r="AT4" s="8" t="s">
        <v>48</v>
      </c>
      <c r="AU4" s="8" t="s">
        <v>49</v>
      </c>
      <c r="AV4" s="8" t="s">
        <v>50</v>
      </c>
      <c r="AW4" s="8" t="s">
        <v>51</v>
      </c>
      <c r="AX4" s="8" t="s">
        <v>52</v>
      </c>
      <c r="AY4" s="8" t="s">
        <v>53</v>
      </c>
      <c r="AZ4" s="8" t="s">
        <v>54</v>
      </c>
      <c r="BA4" s="8" t="s">
        <v>55</v>
      </c>
      <c r="BB4" s="8" t="s">
        <v>56</v>
      </c>
      <c r="BC4" s="8" t="s">
        <v>57</v>
      </c>
      <c r="BD4" s="8" t="s">
        <v>58</v>
      </c>
      <c r="BE4" s="8" t="s">
        <v>59</v>
      </c>
      <c r="BF4" s="8" t="s">
        <v>60</v>
      </c>
      <c r="BG4" s="8" t="s">
        <v>61</v>
      </c>
      <c r="BH4" s="8" t="s">
        <v>62</v>
      </c>
      <c r="BI4" s="8" t="s">
        <v>63</v>
      </c>
      <c r="BJ4" s="8" t="s">
        <v>64</v>
      </c>
      <c r="BK4" s="8" t="s">
        <v>65</v>
      </c>
      <c r="BL4" s="8" t="s">
        <v>66</v>
      </c>
      <c r="BM4" s="8" t="s">
        <v>67</v>
      </c>
      <c r="BN4" s="8" t="s">
        <v>68</v>
      </c>
      <c r="BO4" s="8" t="s">
        <v>69</v>
      </c>
      <c r="BP4" s="8" t="s">
        <v>70</v>
      </c>
      <c r="BQ4" s="8" t="s">
        <v>71</v>
      </c>
      <c r="BR4" s="8" t="s">
        <v>72</v>
      </c>
      <c r="BS4" s="8" t="s">
        <v>73</v>
      </c>
      <c r="BT4" s="8" t="s">
        <v>74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79</v>
      </c>
      <c r="BZ4" s="8" t="s">
        <v>80</v>
      </c>
      <c r="CA4" s="8" t="s">
        <v>81</v>
      </c>
      <c r="CB4" s="8" t="s">
        <v>84</v>
      </c>
      <c r="CC4" s="8" t="s">
        <v>85</v>
      </c>
      <c r="CD4" s="8" t="s">
        <v>86</v>
      </c>
      <c r="CE4" s="8" t="s">
        <v>87</v>
      </c>
      <c r="CF4" s="8" t="s">
        <v>88</v>
      </c>
      <c r="CG4" s="8" t="s">
        <v>89</v>
      </c>
      <c r="CH4" s="8" t="s">
        <v>90</v>
      </c>
      <c r="CI4" s="8" t="s">
        <v>91</v>
      </c>
      <c r="CJ4" s="8" t="s">
        <v>92</v>
      </c>
      <c r="CK4" s="8" t="s">
        <v>93</v>
      </c>
      <c r="CL4" s="8" t="s">
        <v>94</v>
      </c>
      <c r="CM4" s="8" t="s">
        <v>95</v>
      </c>
      <c r="CN4" s="8" t="s">
        <v>98</v>
      </c>
      <c r="CO4" s="8" t="s">
        <v>99</v>
      </c>
      <c r="CP4" s="8" t="s">
        <v>100</v>
      </c>
      <c r="CQ4" s="8" t="s">
        <v>101</v>
      </c>
      <c r="CR4" s="8" t="s">
        <v>102</v>
      </c>
      <c r="CS4" s="8" t="s">
        <v>103</v>
      </c>
      <c r="CT4" s="16" t="s">
        <v>105</v>
      </c>
      <c r="CU4" s="8" t="s">
        <v>104</v>
      </c>
      <c r="CV4" s="8" t="s">
        <v>106</v>
      </c>
      <c r="CW4" s="8" t="s">
        <v>107</v>
      </c>
      <c r="CX4" s="8" t="s">
        <v>108</v>
      </c>
      <c r="CY4" s="8" t="s">
        <v>109</v>
      </c>
      <c r="CZ4" s="8" t="s">
        <v>110</v>
      </c>
      <c r="DA4" s="25">
        <v>42522</v>
      </c>
      <c r="DB4" s="25">
        <v>42614</v>
      </c>
      <c r="DC4" s="25">
        <v>42705</v>
      </c>
      <c r="DD4" s="25">
        <v>42795</v>
      </c>
    </row>
    <row r="5" spans="1:149" s="12" customFormat="1" x14ac:dyDescent="0.15">
      <c r="A5" s="24">
        <v>0</v>
      </c>
      <c r="B5" s="24"/>
      <c r="C5" s="54" t="s">
        <v>97</v>
      </c>
      <c r="D5" s="11">
        <v>150</v>
      </c>
      <c r="E5" s="11">
        <v>155</v>
      </c>
      <c r="F5" s="11">
        <v>158</v>
      </c>
      <c r="G5" s="11">
        <v>165</v>
      </c>
      <c r="H5" s="11">
        <v>160</v>
      </c>
      <c r="I5" s="11">
        <v>165</v>
      </c>
      <c r="J5" s="11">
        <v>165</v>
      </c>
      <c r="K5" s="11">
        <v>167</v>
      </c>
      <c r="L5" s="11">
        <v>165</v>
      </c>
      <c r="M5" s="11">
        <v>170</v>
      </c>
      <c r="N5" s="11">
        <v>170</v>
      </c>
      <c r="O5" s="11">
        <v>170</v>
      </c>
      <c r="P5" s="11">
        <v>175</v>
      </c>
      <c r="Q5" s="11">
        <v>175</v>
      </c>
      <c r="R5" s="11">
        <v>185</v>
      </c>
      <c r="S5" s="11">
        <v>187</v>
      </c>
      <c r="T5" s="11">
        <v>184</v>
      </c>
      <c r="U5" s="11">
        <v>187</v>
      </c>
      <c r="V5" s="11">
        <v>186</v>
      </c>
      <c r="W5" s="11">
        <v>190</v>
      </c>
      <c r="X5" s="11">
        <v>190</v>
      </c>
      <c r="Y5" s="11">
        <v>198</v>
      </c>
      <c r="Z5" s="11">
        <v>200</v>
      </c>
      <c r="AA5" s="11">
        <v>214</v>
      </c>
      <c r="AB5" s="11">
        <v>215</v>
      </c>
      <c r="AC5" s="11">
        <v>221</v>
      </c>
      <c r="AD5" s="11">
        <v>228</v>
      </c>
      <c r="AE5" s="11">
        <v>236</v>
      </c>
      <c r="AF5" s="11">
        <v>233</v>
      </c>
      <c r="AG5" s="11">
        <v>240</v>
      </c>
      <c r="AH5" s="11">
        <v>240</v>
      </c>
      <c r="AI5" s="11">
        <v>250</v>
      </c>
      <c r="AJ5" s="11">
        <v>250</v>
      </c>
      <c r="AK5" s="11">
        <v>265</v>
      </c>
      <c r="AL5" s="11">
        <v>270</v>
      </c>
      <c r="AM5" s="11">
        <v>280</v>
      </c>
      <c r="AN5" s="11">
        <v>279</v>
      </c>
      <c r="AO5" s="11">
        <v>295</v>
      </c>
      <c r="AP5" s="11">
        <v>275</v>
      </c>
      <c r="AQ5" s="11">
        <v>293</v>
      </c>
      <c r="AR5" s="11">
        <v>299</v>
      </c>
      <c r="AS5" s="11">
        <v>316</v>
      </c>
      <c r="AT5" s="11">
        <v>328</v>
      </c>
      <c r="AU5" s="11">
        <v>338</v>
      </c>
      <c r="AV5" s="11">
        <v>350</v>
      </c>
      <c r="AW5" s="11">
        <v>370</v>
      </c>
      <c r="AX5" s="11">
        <v>385</v>
      </c>
      <c r="AY5" s="11">
        <v>400</v>
      </c>
      <c r="AZ5" s="11">
        <v>398</v>
      </c>
      <c r="BA5" s="11">
        <v>415</v>
      </c>
      <c r="BB5" s="11">
        <v>423</v>
      </c>
      <c r="BC5" s="11">
        <v>443</v>
      </c>
      <c r="BD5" s="11">
        <v>435</v>
      </c>
      <c r="BE5" s="11">
        <v>427</v>
      </c>
      <c r="BF5" s="11">
        <v>435</v>
      </c>
      <c r="BG5" s="11">
        <v>449</v>
      </c>
      <c r="BH5" s="11">
        <v>430</v>
      </c>
      <c r="BI5" s="11">
        <v>435</v>
      </c>
      <c r="BJ5" s="11">
        <v>425</v>
      </c>
      <c r="BK5" s="11">
        <v>433</v>
      </c>
      <c r="BL5" s="11">
        <v>420</v>
      </c>
      <c r="BM5" s="11">
        <v>436</v>
      </c>
      <c r="BN5" s="11">
        <v>420</v>
      </c>
      <c r="BO5" s="11">
        <v>442</v>
      </c>
      <c r="BP5" s="11">
        <v>425</v>
      </c>
      <c r="BQ5" s="11">
        <v>450</v>
      </c>
      <c r="BR5" s="11">
        <v>445</v>
      </c>
      <c r="BS5" s="11">
        <v>465</v>
      </c>
      <c r="BT5" s="11">
        <v>435</v>
      </c>
      <c r="BU5" s="11">
        <v>435</v>
      </c>
      <c r="BV5" s="11">
        <v>420</v>
      </c>
      <c r="BW5" s="11">
        <v>412</v>
      </c>
      <c r="BX5" s="11">
        <v>408</v>
      </c>
      <c r="BY5" s="11">
        <v>435</v>
      </c>
      <c r="BZ5" s="11">
        <v>450</v>
      </c>
      <c r="CA5" s="11">
        <v>500</v>
      </c>
      <c r="CB5" s="11">
        <v>500</v>
      </c>
      <c r="CC5" s="11">
        <v>523</v>
      </c>
      <c r="CD5" s="11">
        <v>515</v>
      </c>
      <c r="CE5" s="11">
        <v>535</v>
      </c>
      <c r="CF5" s="11">
        <v>580</v>
      </c>
      <c r="CG5" s="11">
        <v>540</v>
      </c>
      <c r="CH5" s="11">
        <v>510</v>
      </c>
      <c r="CI5" s="11">
        <v>491</v>
      </c>
      <c r="CJ5" s="11">
        <v>540</v>
      </c>
      <c r="CK5" s="11">
        <v>545</v>
      </c>
      <c r="CL5" s="11">
        <v>525</v>
      </c>
      <c r="CM5" s="11">
        <v>560</v>
      </c>
      <c r="CN5" s="11">
        <v>550</v>
      </c>
      <c r="CO5" s="11">
        <v>575</v>
      </c>
      <c r="CP5" s="11">
        <v>590</v>
      </c>
      <c r="CQ5" s="11">
        <v>600</v>
      </c>
      <c r="CR5" s="11">
        <v>645</v>
      </c>
      <c r="CS5" s="11">
        <v>650</v>
      </c>
      <c r="CT5" s="11">
        <v>670</v>
      </c>
      <c r="CU5" s="11">
        <v>700</v>
      </c>
      <c r="CV5" s="11">
        <v>700</v>
      </c>
      <c r="CW5" s="11">
        <v>750</v>
      </c>
      <c r="CX5" s="11">
        <v>770</v>
      </c>
      <c r="CY5" s="11">
        <v>790</v>
      </c>
      <c r="CZ5" s="11">
        <v>760</v>
      </c>
      <c r="DA5" s="11">
        <v>780</v>
      </c>
      <c r="DB5" s="11">
        <v>788</v>
      </c>
      <c r="DC5" s="11">
        <v>840</v>
      </c>
      <c r="DD5" s="11">
        <v>810</v>
      </c>
      <c r="DE5" s="7">
        <f>((DD5/D5)^(1/27)-1)*103</f>
        <v>6.6384581761556758</v>
      </c>
      <c r="DF5" s="7"/>
      <c r="DG5" s="7"/>
      <c r="DH5" s="55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Explan</vt:lpstr>
      <vt:lpstr>Figure 1</vt:lpstr>
      <vt:lpstr>Figure 2</vt:lpstr>
      <vt:lpstr>Figure 3</vt:lpstr>
      <vt:lpstr>Sheet19</vt:lpstr>
      <vt:lpstr>Figure 4</vt:lpstr>
      <vt:lpstr>Figure 5</vt:lpstr>
      <vt:lpstr>Sheet15</vt:lpstr>
      <vt:lpstr>Sheet18</vt:lpstr>
      <vt:lpstr>Sheet16</vt:lpstr>
      <vt:lpstr>Sheet20</vt:lpstr>
      <vt:lpstr>testing ad</vt:lpstr>
      <vt:lpstr>ad</vt:lpstr>
      <vt:lpstr>testing ns</vt:lpstr>
      <vt:lpstr>ns</vt:lpstr>
      <vt:lpstr>testing s</vt:lpstr>
      <vt:lpstr>s</vt:lpstr>
      <vt:lpstr>testing greater</vt:lpstr>
      <vt:lpstr>greater</vt:lpstr>
    </vt:vector>
  </TitlesOfParts>
  <Company>NSW Businesslink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</dc:creator>
  <cp:lastModifiedBy>Microsoft Office User</cp:lastModifiedBy>
  <dcterms:created xsi:type="dcterms:W3CDTF">2010-02-15T22:26:49Z</dcterms:created>
  <dcterms:modified xsi:type="dcterms:W3CDTF">2023-08-21T19:04:59Z</dcterms:modified>
</cp:coreProperties>
</file>